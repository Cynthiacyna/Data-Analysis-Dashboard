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Cynthia\Documents\CHI\"/>
    </mc:Choice>
  </mc:AlternateContent>
  <xr:revisionPtr revIDLastSave="0" documentId="13_ncr:1_{6A64C198-7BB0-4F29-B20A-343BCB14F338}" xr6:coauthVersionLast="47" xr6:coauthVersionMax="47" xr10:uidLastSave="{00000000-0000-0000-0000-000000000000}"/>
  <bookViews>
    <workbookView xWindow="-120" yWindow="-120" windowWidth="20730" windowHeight="11040" activeTab="3" xr2:uid="{72C7B312-8105-4208-8567-7634751087FB}"/>
  </bookViews>
  <sheets>
    <sheet name="Library Data" sheetId="1" r:id="rId1"/>
    <sheet name="Pivot" sheetId="6" r:id="rId2"/>
    <sheet name="KPIs" sheetId="2" r:id="rId3"/>
    <sheet name="Dashboard" sheetId="7" r:id="rId4"/>
  </sheets>
  <definedNames>
    <definedName name="Slicer_City">#N/A</definedName>
    <definedName name="Slicer_Gender">#N/A</definedName>
    <definedName name="Slicer_Membership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alcChain>
</file>

<file path=xl/sharedStrings.xml><?xml version="1.0" encoding="utf-8"?>
<sst xmlns="http://schemas.openxmlformats.org/spreadsheetml/2006/main" count="1059" uniqueCount="441">
  <si>
    <t>Patron_ID</t>
  </si>
  <si>
    <t>Age</t>
  </si>
  <si>
    <t>Gender</t>
  </si>
  <si>
    <t>City</t>
  </si>
  <si>
    <t>Membership_Type</t>
  </si>
  <si>
    <t>Satisfaction_Score</t>
  </si>
  <si>
    <t>Books_Borrowed</t>
  </si>
  <si>
    <t>Avg_Borrow_Days</t>
  </si>
  <si>
    <t>Fines_Paid_NGN</t>
  </si>
  <si>
    <t>Event_Attendance</t>
  </si>
  <si>
    <t>Digital_Usage_Hours</t>
  </si>
  <si>
    <t>P0001</t>
  </si>
  <si>
    <t>Male</t>
  </si>
  <si>
    <t>Port Harcourt</t>
  </si>
  <si>
    <t>Student</t>
  </si>
  <si>
    <t>2023-11-10</t>
  </si>
  <si>
    <t>P0002</t>
  </si>
  <si>
    <t>Female</t>
  </si>
  <si>
    <t>Ibadan</t>
  </si>
  <si>
    <t>2023-05-11</t>
  </si>
  <si>
    <t>P0003</t>
  </si>
  <si>
    <t>Kano</t>
  </si>
  <si>
    <t>Senior</t>
  </si>
  <si>
    <t>2022-10-03</t>
  </si>
  <si>
    <t>P0004</t>
  </si>
  <si>
    <t>Adult</t>
  </si>
  <si>
    <t>2022-02-25</t>
  </si>
  <si>
    <t>P0005</t>
  </si>
  <si>
    <t>2020-05-10</t>
  </si>
  <si>
    <t>P0006</t>
  </si>
  <si>
    <t>Abuja</t>
  </si>
  <si>
    <t>2020-11-08</t>
  </si>
  <si>
    <t>P0007</t>
  </si>
  <si>
    <t>Researcher</t>
  </si>
  <si>
    <t>2022-02-12</t>
  </si>
  <si>
    <t>P0008</t>
  </si>
  <si>
    <t>2022-07-07</t>
  </si>
  <si>
    <t>P0009</t>
  </si>
  <si>
    <t>Lagos</t>
  </si>
  <si>
    <t>2021-08-03</t>
  </si>
  <si>
    <t>P0010</t>
  </si>
  <si>
    <t>Enugu</t>
  </si>
  <si>
    <t>2023-10-22</t>
  </si>
  <si>
    <t>P0011</t>
  </si>
  <si>
    <t>2023-03-24</t>
  </si>
  <si>
    <t>P0012</t>
  </si>
  <si>
    <t>2023-08-26</t>
  </si>
  <si>
    <t>P0013</t>
  </si>
  <si>
    <t>2024-01-20</t>
  </si>
  <si>
    <t>P0014</t>
  </si>
  <si>
    <t>2022-08-08</t>
  </si>
  <si>
    <t>P0015</t>
  </si>
  <si>
    <t>2023-11-27</t>
  </si>
  <si>
    <t>P0016</t>
  </si>
  <si>
    <t>2023-05-21</t>
  </si>
  <si>
    <t>P0017</t>
  </si>
  <si>
    <t>2023-04-14</t>
  </si>
  <si>
    <t>P0018</t>
  </si>
  <si>
    <t>2022-05-16</t>
  </si>
  <si>
    <t>P0019</t>
  </si>
  <si>
    <t>2020-03-09</t>
  </si>
  <si>
    <t>P0020</t>
  </si>
  <si>
    <t>2021-03-31</t>
  </si>
  <si>
    <t>P0021</t>
  </si>
  <si>
    <t>2021-11-05</t>
  </si>
  <si>
    <t>P0022</t>
  </si>
  <si>
    <t>2023-07-05</t>
  </si>
  <si>
    <t>P0023</t>
  </si>
  <si>
    <t>2023-02-06</t>
  </si>
  <si>
    <t>P0024</t>
  </si>
  <si>
    <t>2024-01-19</t>
  </si>
  <si>
    <t>P0025</t>
  </si>
  <si>
    <t>2023-09-05</t>
  </si>
  <si>
    <t>P0026</t>
  </si>
  <si>
    <t>2021-05-14</t>
  </si>
  <si>
    <t>P0027</t>
  </si>
  <si>
    <t>2021-08-31</t>
  </si>
  <si>
    <t>P0028</t>
  </si>
  <si>
    <t>2020-07-21</t>
  </si>
  <si>
    <t>P0029</t>
  </si>
  <si>
    <t>2020-01-22</t>
  </si>
  <si>
    <t>P0030</t>
  </si>
  <si>
    <t>P0031</t>
  </si>
  <si>
    <t>2021-01-27</t>
  </si>
  <si>
    <t>P0032</t>
  </si>
  <si>
    <t>2023-12-04</t>
  </si>
  <si>
    <t>P0033</t>
  </si>
  <si>
    <t>2020-03-23</t>
  </si>
  <si>
    <t>P0034</t>
  </si>
  <si>
    <t>2022-06-05</t>
  </si>
  <si>
    <t>P0035</t>
  </si>
  <si>
    <t>2023-02-18</t>
  </si>
  <si>
    <t>P0036</t>
  </si>
  <si>
    <t>2023-11-09</t>
  </si>
  <si>
    <t>P0037</t>
  </si>
  <si>
    <t>2021-03-20</t>
  </si>
  <si>
    <t>P0038</t>
  </si>
  <si>
    <t>2021-04-04</t>
  </si>
  <si>
    <t>P0039</t>
  </si>
  <si>
    <t>2022-11-11</t>
  </si>
  <si>
    <t>P0040</t>
  </si>
  <si>
    <t>2022-08-18</t>
  </si>
  <si>
    <t>P0041</t>
  </si>
  <si>
    <t>2022-04-15</t>
  </si>
  <si>
    <t>P0042</t>
  </si>
  <si>
    <t>2022-09-23</t>
  </si>
  <si>
    <t>P0043</t>
  </si>
  <si>
    <t>2023-01-07</t>
  </si>
  <si>
    <t>P0044</t>
  </si>
  <si>
    <t>2021-01-17</t>
  </si>
  <si>
    <t>P0045</t>
  </si>
  <si>
    <t>2020-05-28</t>
  </si>
  <si>
    <t>P0046</t>
  </si>
  <si>
    <t>2021-02-08</t>
  </si>
  <si>
    <t>P0047</t>
  </si>
  <si>
    <t>2023-08-15</t>
  </si>
  <si>
    <t>P0048</t>
  </si>
  <si>
    <t>2022-11-24</t>
  </si>
  <si>
    <t>P0049</t>
  </si>
  <si>
    <t>2023-06-25</t>
  </si>
  <si>
    <t>P0050</t>
  </si>
  <si>
    <t>2020-04-28</t>
  </si>
  <si>
    <t>P0051</t>
  </si>
  <si>
    <t>2023-10-19</t>
  </si>
  <si>
    <t>P0052</t>
  </si>
  <si>
    <t>2021-04-08</t>
  </si>
  <si>
    <t>P0053</t>
  </si>
  <si>
    <t>2022-03-30</t>
  </si>
  <si>
    <t>P0054</t>
  </si>
  <si>
    <t>2023-10-24</t>
  </si>
  <si>
    <t>P0055</t>
  </si>
  <si>
    <t>2020-06-04</t>
  </si>
  <si>
    <t>P0056</t>
  </si>
  <si>
    <t>2021-05-27</t>
  </si>
  <si>
    <t>P0057</t>
  </si>
  <si>
    <t>2021-11-11</t>
  </si>
  <si>
    <t>P0058</t>
  </si>
  <si>
    <t>2023-10-25</t>
  </si>
  <si>
    <t>P0059</t>
  </si>
  <si>
    <t>2023-03-01</t>
  </si>
  <si>
    <t>P0060</t>
  </si>
  <si>
    <t>2020-09-28</t>
  </si>
  <si>
    <t>P0061</t>
  </si>
  <si>
    <t>2021-12-01</t>
  </si>
  <si>
    <t>P0062</t>
  </si>
  <si>
    <t>2022-08-24</t>
  </si>
  <si>
    <t>P0063</t>
  </si>
  <si>
    <t>2022-01-22</t>
  </si>
  <si>
    <t>P0064</t>
  </si>
  <si>
    <t>2021-01-26</t>
  </si>
  <si>
    <t>P0065</t>
  </si>
  <si>
    <t>2022-04-04</t>
  </si>
  <si>
    <t>P0066</t>
  </si>
  <si>
    <t>2023-07-26</t>
  </si>
  <si>
    <t>P0067</t>
  </si>
  <si>
    <t>P0068</t>
  </si>
  <si>
    <t>2023-09-06</t>
  </si>
  <si>
    <t>P0069</t>
  </si>
  <si>
    <t>2022-07-18</t>
  </si>
  <si>
    <t>P0070</t>
  </si>
  <si>
    <t>2023-07-24</t>
  </si>
  <si>
    <t>P0071</t>
  </si>
  <si>
    <t>2023-07-01</t>
  </si>
  <si>
    <t>P0072</t>
  </si>
  <si>
    <t>2022-09-22</t>
  </si>
  <si>
    <t>P0073</t>
  </si>
  <si>
    <t>2023-08-21</t>
  </si>
  <si>
    <t>P0074</t>
  </si>
  <si>
    <t>2022-10-11</t>
  </si>
  <si>
    <t>P0075</t>
  </si>
  <si>
    <t>2023-10-11</t>
  </si>
  <si>
    <t>P0076</t>
  </si>
  <si>
    <t>2023-12-09</t>
  </si>
  <si>
    <t>P0077</t>
  </si>
  <si>
    <t>2021-03-07</t>
  </si>
  <si>
    <t>P0078</t>
  </si>
  <si>
    <t>2021-07-19</t>
  </si>
  <si>
    <t>P0079</t>
  </si>
  <si>
    <t>P0080</t>
  </si>
  <si>
    <t>2021-02-02</t>
  </si>
  <si>
    <t>P0081</t>
  </si>
  <si>
    <t>2021-09-17</t>
  </si>
  <si>
    <t>P0082</t>
  </si>
  <si>
    <t>2022-10-24</t>
  </si>
  <si>
    <t>P0083</t>
  </si>
  <si>
    <t>2021-11-18</t>
  </si>
  <si>
    <t>P0084</t>
  </si>
  <si>
    <t>2021-09-06</t>
  </si>
  <si>
    <t>P0085</t>
  </si>
  <si>
    <t>2022-01-08</t>
  </si>
  <si>
    <t>P0086</t>
  </si>
  <si>
    <t>2022-07-24</t>
  </si>
  <si>
    <t>P0087</t>
  </si>
  <si>
    <t>2023-03-09</t>
  </si>
  <si>
    <t>P0088</t>
  </si>
  <si>
    <t>2022-07-04</t>
  </si>
  <si>
    <t>P0089</t>
  </si>
  <si>
    <t>2021-08-17</t>
  </si>
  <si>
    <t>P0090</t>
  </si>
  <si>
    <t>P0091</t>
  </si>
  <si>
    <t>2022-01-24</t>
  </si>
  <si>
    <t>P0092</t>
  </si>
  <si>
    <t>2023-10-31</t>
  </si>
  <si>
    <t>P0093</t>
  </si>
  <si>
    <t>2020-12-01</t>
  </si>
  <si>
    <t>P0094</t>
  </si>
  <si>
    <t>2023-12-31</t>
  </si>
  <si>
    <t>P0095</t>
  </si>
  <si>
    <t>2020-08-07</t>
  </si>
  <si>
    <t>P0096</t>
  </si>
  <si>
    <t>2021-09-02</t>
  </si>
  <si>
    <t>P0097</t>
  </si>
  <si>
    <t>2023-12-25</t>
  </si>
  <si>
    <t>P0098</t>
  </si>
  <si>
    <t>2022-06-20</t>
  </si>
  <si>
    <t>P0099</t>
  </si>
  <si>
    <t>2021-10-25</t>
  </si>
  <si>
    <t>P0100</t>
  </si>
  <si>
    <t>2020-09-14</t>
  </si>
  <si>
    <t>P0101</t>
  </si>
  <si>
    <t>2022-03-09</t>
  </si>
  <si>
    <t>P0102</t>
  </si>
  <si>
    <t>2022-10-05</t>
  </si>
  <si>
    <t>P0103</t>
  </si>
  <si>
    <t>2023-07-19</t>
  </si>
  <si>
    <t>P0104</t>
  </si>
  <si>
    <t>P0105</t>
  </si>
  <si>
    <t>2022-03-03</t>
  </si>
  <si>
    <t>P0106</t>
  </si>
  <si>
    <t>2020-04-14</t>
  </si>
  <si>
    <t>P0107</t>
  </si>
  <si>
    <t>P0108</t>
  </si>
  <si>
    <t>2021-11-17</t>
  </si>
  <si>
    <t>P0109</t>
  </si>
  <si>
    <t>2022-04-28</t>
  </si>
  <si>
    <t>P0110</t>
  </si>
  <si>
    <t>2023-08-10</t>
  </si>
  <si>
    <t>P0111</t>
  </si>
  <si>
    <t>2021-10-16</t>
  </si>
  <si>
    <t>P0112</t>
  </si>
  <si>
    <t>2021-11-16</t>
  </si>
  <si>
    <t>P0113</t>
  </si>
  <si>
    <t>2020-01-17</t>
  </si>
  <si>
    <t>P0114</t>
  </si>
  <si>
    <t>2020-09-15</t>
  </si>
  <si>
    <t>P0115</t>
  </si>
  <si>
    <t>P0116</t>
  </si>
  <si>
    <t>P0117</t>
  </si>
  <si>
    <t>2021-11-08</t>
  </si>
  <si>
    <t>P0118</t>
  </si>
  <si>
    <t>2022-01-04</t>
  </si>
  <si>
    <t>P0119</t>
  </si>
  <si>
    <t>2023-03-02</t>
  </si>
  <si>
    <t>P0120</t>
  </si>
  <si>
    <t>2023-05-12</t>
  </si>
  <si>
    <t>P0121</t>
  </si>
  <si>
    <t>2023-11-03</t>
  </si>
  <si>
    <t>P0122</t>
  </si>
  <si>
    <t>2023-08-06</t>
  </si>
  <si>
    <t>P0123</t>
  </si>
  <si>
    <t>2020-07-24</t>
  </si>
  <si>
    <t>P0124</t>
  </si>
  <si>
    <t>2020-12-26</t>
  </si>
  <si>
    <t>P0125</t>
  </si>
  <si>
    <t>2022-03-31</t>
  </si>
  <si>
    <t>P0126</t>
  </si>
  <si>
    <t>2021-04-22</t>
  </si>
  <si>
    <t>P0127</t>
  </si>
  <si>
    <t>2020-10-11</t>
  </si>
  <si>
    <t>P0128</t>
  </si>
  <si>
    <t>2020-07-26</t>
  </si>
  <si>
    <t>P0129</t>
  </si>
  <si>
    <t>2023-01-29</t>
  </si>
  <si>
    <t>P0130</t>
  </si>
  <si>
    <t>2022-01-01</t>
  </si>
  <si>
    <t>P0131</t>
  </si>
  <si>
    <t>2023-09-12</t>
  </si>
  <si>
    <t>P0132</t>
  </si>
  <si>
    <t>2022-05-14</t>
  </si>
  <si>
    <t>P0133</t>
  </si>
  <si>
    <t>2020-07-31</t>
  </si>
  <si>
    <t>P0134</t>
  </si>
  <si>
    <t>2020-03-27</t>
  </si>
  <si>
    <t>P0135</t>
  </si>
  <si>
    <t>2023-01-27</t>
  </si>
  <si>
    <t>P0136</t>
  </si>
  <si>
    <t>2022-09-15</t>
  </si>
  <si>
    <t>P0137</t>
  </si>
  <si>
    <t>2020-05-11</t>
  </si>
  <si>
    <t>P0138</t>
  </si>
  <si>
    <t>2022-02-02</t>
  </si>
  <si>
    <t>P0139</t>
  </si>
  <si>
    <t>P0140</t>
  </si>
  <si>
    <t>2022-09-13</t>
  </si>
  <si>
    <t>P0141</t>
  </si>
  <si>
    <t>2021-10-07</t>
  </si>
  <si>
    <t>P0142</t>
  </si>
  <si>
    <t>2023-02-16</t>
  </si>
  <si>
    <t>P0143</t>
  </si>
  <si>
    <t>2022-05-22</t>
  </si>
  <si>
    <t>P0144</t>
  </si>
  <si>
    <t>2022-12-05</t>
  </si>
  <si>
    <t>P0145</t>
  </si>
  <si>
    <t>2020-02-07</t>
  </si>
  <si>
    <t>P0146</t>
  </si>
  <si>
    <t>2023-07-04</t>
  </si>
  <si>
    <t>P0147</t>
  </si>
  <si>
    <t>2023-02-15</t>
  </si>
  <si>
    <t>P0148</t>
  </si>
  <si>
    <t>2020-07-14</t>
  </si>
  <si>
    <t>P0149</t>
  </si>
  <si>
    <t>2022-08-29</t>
  </si>
  <si>
    <t>P0150</t>
  </si>
  <si>
    <t>2022-03-04</t>
  </si>
  <si>
    <t>P0151</t>
  </si>
  <si>
    <t>2022-05-15</t>
  </si>
  <si>
    <t>P0152</t>
  </si>
  <si>
    <t>2022-07-05</t>
  </si>
  <si>
    <t>P0153</t>
  </si>
  <si>
    <t>2022-11-28</t>
  </si>
  <si>
    <t>P0154</t>
  </si>
  <si>
    <t>2023-06-07</t>
  </si>
  <si>
    <t>P0155</t>
  </si>
  <si>
    <t>2023-10-04</t>
  </si>
  <si>
    <t>P0156</t>
  </si>
  <si>
    <t>2022-07-12</t>
  </si>
  <si>
    <t>P0157</t>
  </si>
  <si>
    <t>2020-11-18</t>
  </si>
  <si>
    <t>P0158</t>
  </si>
  <si>
    <t>2024-01-27</t>
  </si>
  <si>
    <t>P0159</t>
  </si>
  <si>
    <t>2022-03-16</t>
  </si>
  <si>
    <t>P0160</t>
  </si>
  <si>
    <t>2022-11-02</t>
  </si>
  <si>
    <t>P0161</t>
  </si>
  <si>
    <t>2023-02-04</t>
  </si>
  <si>
    <t>P0162</t>
  </si>
  <si>
    <t>2021-10-18</t>
  </si>
  <si>
    <t>P0163</t>
  </si>
  <si>
    <t>2024-01-25</t>
  </si>
  <si>
    <t>P0164</t>
  </si>
  <si>
    <t>2022-02-15</t>
  </si>
  <si>
    <t>P0165</t>
  </si>
  <si>
    <t>2020-05-23</t>
  </si>
  <si>
    <t>P0166</t>
  </si>
  <si>
    <t>2021-10-02</t>
  </si>
  <si>
    <t>P0167</t>
  </si>
  <si>
    <t>2023-11-21</t>
  </si>
  <si>
    <t>P0168</t>
  </si>
  <si>
    <t>2021-12-04</t>
  </si>
  <si>
    <t>P0169</t>
  </si>
  <si>
    <t>2020-08-25</t>
  </si>
  <si>
    <t>P0170</t>
  </si>
  <si>
    <t>2022-03-20</t>
  </si>
  <si>
    <t>P0171</t>
  </si>
  <si>
    <t>2020-09-25</t>
  </si>
  <si>
    <t>P0172</t>
  </si>
  <si>
    <t>2021-11-24</t>
  </si>
  <si>
    <t>P0173</t>
  </si>
  <si>
    <t>P0174</t>
  </si>
  <si>
    <t>2020-02-06</t>
  </si>
  <si>
    <t>P0175</t>
  </si>
  <si>
    <t>2023-12-02</t>
  </si>
  <si>
    <t>P0176</t>
  </si>
  <si>
    <t>2020-01-04</t>
  </si>
  <si>
    <t>P0177</t>
  </si>
  <si>
    <t>2022-06-13</t>
  </si>
  <si>
    <t>P0178</t>
  </si>
  <si>
    <t>2023-07-27</t>
  </si>
  <si>
    <t>P0179</t>
  </si>
  <si>
    <t>2021-02-11</t>
  </si>
  <si>
    <t>P0180</t>
  </si>
  <si>
    <t>2022-01-19</t>
  </si>
  <si>
    <t>P0181</t>
  </si>
  <si>
    <t>2023-09-24</t>
  </si>
  <si>
    <t>P0182</t>
  </si>
  <si>
    <t>2022-06-28</t>
  </si>
  <si>
    <t>P0183</t>
  </si>
  <si>
    <t>2023-03-29</t>
  </si>
  <si>
    <t>P0184</t>
  </si>
  <si>
    <t>2022-03-10</t>
  </si>
  <si>
    <t>P0185</t>
  </si>
  <si>
    <t>2020-12-14</t>
  </si>
  <si>
    <t>P0186</t>
  </si>
  <si>
    <t>2020-11-28</t>
  </si>
  <si>
    <t>P0187</t>
  </si>
  <si>
    <t>2023-06-24</t>
  </si>
  <si>
    <t>P0188</t>
  </si>
  <si>
    <t>2021-10-22</t>
  </si>
  <si>
    <t>P0189</t>
  </si>
  <si>
    <t>2023-06-06</t>
  </si>
  <si>
    <t>P0190</t>
  </si>
  <si>
    <t>2023-11-28</t>
  </si>
  <si>
    <t>P0191</t>
  </si>
  <si>
    <t>2020-04-16</t>
  </si>
  <si>
    <t>P0192</t>
  </si>
  <si>
    <t>2021-06-29</t>
  </si>
  <si>
    <t>P0193</t>
  </si>
  <si>
    <t>2021-07-24</t>
  </si>
  <si>
    <t>P0194</t>
  </si>
  <si>
    <t>P0195</t>
  </si>
  <si>
    <t>2021-12-24</t>
  </si>
  <si>
    <t>P0196</t>
  </si>
  <si>
    <t>2022-08-05</t>
  </si>
  <si>
    <t>P0197</t>
  </si>
  <si>
    <t>2023-07-06</t>
  </si>
  <si>
    <t>P0198</t>
  </si>
  <si>
    <t>2020-08-26</t>
  </si>
  <si>
    <t>P0199</t>
  </si>
  <si>
    <t>2022-05-13</t>
  </si>
  <si>
    <t>P0200</t>
  </si>
  <si>
    <t>2021-08-09</t>
  </si>
  <si>
    <t>Membership_Start_Date2</t>
  </si>
  <si>
    <t>Membership Start Date</t>
  </si>
  <si>
    <t>Row Labels</t>
  </si>
  <si>
    <t>Grand Total</t>
  </si>
  <si>
    <t>Count of Patron_ID</t>
  </si>
  <si>
    <t>Total Patrons</t>
  </si>
  <si>
    <t>Average of Avg_Borrow_Days</t>
  </si>
  <si>
    <t>Average of Satisfaction_Score</t>
  </si>
  <si>
    <t>Sum of Books_Borrowed</t>
  </si>
  <si>
    <t>Sum of Fines_Paid_NGN</t>
  </si>
  <si>
    <t>Sum of Digital_Usage_Hours</t>
  </si>
  <si>
    <t>Average of Digital_Usage_Hours</t>
  </si>
  <si>
    <t>Avg Borrow Days</t>
  </si>
  <si>
    <t>Total Books Borrowed</t>
  </si>
  <si>
    <t>Total Fine Collected</t>
  </si>
  <si>
    <t>Avg Satisfaction Score</t>
  </si>
  <si>
    <t>Avg Digital Usage Hours</t>
  </si>
  <si>
    <t>Fri 09</t>
  </si>
  <si>
    <t>Fri 10</t>
  </si>
  <si>
    <t>Mon 06</t>
  </si>
  <si>
    <t>Sat 08</t>
  </si>
  <si>
    <t>Sun 05</t>
  </si>
  <si>
    <t>Thu 04</t>
  </si>
  <si>
    <t>Tue 12</t>
  </si>
  <si>
    <t>Wed 03</t>
  </si>
  <si>
    <t>Event Attendance by City</t>
  </si>
  <si>
    <t>Books Borrowed by Membership Type</t>
  </si>
  <si>
    <t>Digital Usage Trend</t>
  </si>
  <si>
    <t>Satisfaction Score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</si>
</sst>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7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16" fontId="0" fillId="0" borderId="0" xfId="0" applyNumberFormat="1"/>
    <xf numFmtId="1" fontId="0" fillId="0" borderId="0" xfId="0" applyNumberFormat="1"/>
    <xf numFmtId="0" fontId="0" fillId="0" borderId="0" xfId="0" applyAlignment="1">
      <alignment horizontal="center"/>
    </xf>
    <xf numFmtId="0" fontId="0" fillId="0" borderId="0" xfId="0" applyNumberFormat="1"/>
    <xf numFmtId="2" fontId="0" fillId="0" borderId="0" xfId="0" applyNumberFormat="1"/>
  </cellXfs>
  <cellStyles count="1">
    <cellStyle name="Normal" xfId="0" builtinId="0"/>
  </cellStyles>
  <dxfs count="1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64" formatCode="[$₦-470]#,##0"/>
    </dxf>
    <dxf>
      <numFmt numFmtId="0" formatCode="General"/>
    </dxf>
  </dxfs>
  <tableStyles count="0" defaultTableStyle="TableStyleMedium2" defaultPivotStyle="PivotStyleLight16"/>
  <colors>
    <mruColors>
      <color rgb="FF4E95D9"/>
      <color rgb="FFB630A6"/>
      <color rgb="FFFFFF19"/>
      <color rgb="FFFEC200"/>
      <color rgb="FF9E9A00"/>
      <color rgb="FF0040C0"/>
      <color rgb="FFFF2121"/>
      <color rgb="FFFFE082"/>
      <color rgb="FFC8E6C9"/>
      <color rgb="FFD1C4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[LIBRARY.xlsx]Pivot!PivotTable11</c:name>
    <c:fmtId val="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Pivot!$B$36</c:f>
              <c:strCache>
                <c:ptCount val="1"/>
                <c:pt idx="0">
                  <c:v>Total</c:v>
                </c:pt>
              </c:strCache>
            </c:strRef>
          </c:tx>
          <c:spPr>
            <a:ln>
              <a:noFill/>
            </a:ln>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114-4638-AF37-9FB1E228C64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114-4638-AF37-9FB1E228C64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114-4638-AF37-9FB1E228C64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114-4638-AF37-9FB1E228C64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114-4638-AF37-9FB1E228C64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B114-4638-AF37-9FB1E228C648}"/>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B114-4638-AF37-9FB1E228C648}"/>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B114-4638-AF37-9FB1E228C648}"/>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B114-4638-AF37-9FB1E228C648}"/>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B114-4638-AF37-9FB1E228C6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Pivot!$A$37:$A$47</c:f>
              <c:strCache>
                <c:ptCount val="10"/>
                <c:pt idx="0">
                  <c:v>1</c:v>
                </c:pt>
                <c:pt idx="1">
                  <c:v>2</c:v>
                </c:pt>
                <c:pt idx="2">
                  <c:v>3</c:v>
                </c:pt>
                <c:pt idx="3">
                  <c:v>4</c:v>
                </c:pt>
                <c:pt idx="4">
                  <c:v>5</c:v>
                </c:pt>
                <c:pt idx="5">
                  <c:v>6</c:v>
                </c:pt>
                <c:pt idx="6">
                  <c:v>7</c:v>
                </c:pt>
                <c:pt idx="7">
                  <c:v>8</c:v>
                </c:pt>
                <c:pt idx="8">
                  <c:v>9</c:v>
                </c:pt>
                <c:pt idx="9">
                  <c:v>10</c:v>
                </c:pt>
              </c:strCache>
            </c:strRef>
          </c:cat>
          <c:val>
            <c:numRef>
              <c:f>Pivot!$B$37:$B$47</c:f>
              <c:numCache>
                <c:formatCode>General</c:formatCode>
                <c:ptCount val="10"/>
                <c:pt idx="0">
                  <c:v>17</c:v>
                </c:pt>
                <c:pt idx="1">
                  <c:v>19</c:v>
                </c:pt>
                <c:pt idx="2">
                  <c:v>23</c:v>
                </c:pt>
                <c:pt idx="3">
                  <c:v>29</c:v>
                </c:pt>
                <c:pt idx="4">
                  <c:v>23</c:v>
                </c:pt>
                <c:pt idx="5">
                  <c:v>16</c:v>
                </c:pt>
                <c:pt idx="6">
                  <c:v>16</c:v>
                </c:pt>
                <c:pt idx="7">
                  <c:v>15</c:v>
                </c:pt>
                <c:pt idx="8">
                  <c:v>24</c:v>
                </c:pt>
                <c:pt idx="9">
                  <c:v>18</c:v>
                </c:pt>
              </c:numCache>
            </c:numRef>
          </c:val>
          <c:extLst>
            <c:ext xmlns:c16="http://schemas.microsoft.com/office/drawing/2014/chart" uri="{C3380CC4-5D6E-409C-BE32-E72D297353CC}">
              <c16:uniqueId val="{00000014-B114-4638-AF37-9FB1E228C64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7931116704674206"/>
          <c:y val="4.1437007874015747E-2"/>
          <c:w val="0.10702763076746555"/>
          <c:h val="0.91712598425196845"/>
        </c:manualLayout>
      </c:layout>
      <c:overlay val="0"/>
      <c:spPr>
        <a:noFill/>
        <a:ln cap="flat" cmpd="sng">
          <a:noFill/>
          <a:round/>
        </a:ln>
        <a:effectLst/>
      </c:spPr>
      <c:txPr>
        <a:bodyPr rot="0" spcFirstLastPara="1" vertOverflow="ellipsis" vert="horz" wrap="square" anchor="ctr" anchorCtr="1"/>
        <a:lstStyle/>
        <a:p>
          <a:pPr>
            <a:defRPr sz="900" b="0" i="0" u="none" strike="noStrike" kern="1200" baseline="0">
              <a:solidFill>
                <a:schemeClr val="tx1">
                  <a:lumMod val="65000"/>
                  <a:lumOff val="35000"/>
                  <a:alpha val="99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[LIBRARY.xlsx]Pivot!PivotTable10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Pivot!$A$24:$A$32</c:f>
              <c:strCache>
                <c:ptCount val="8"/>
                <c:pt idx="0">
                  <c:v>Fri 10</c:v>
                </c:pt>
                <c:pt idx="1">
                  <c:v>Sat 08</c:v>
                </c:pt>
                <c:pt idx="2">
                  <c:v>Tue 12</c:v>
                </c:pt>
                <c:pt idx="3">
                  <c:v>Mon 06</c:v>
                </c:pt>
                <c:pt idx="4">
                  <c:v>Fri 09</c:v>
                </c:pt>
                <c:pt idx="5">
                  <c:v>Thu 04</c:v>
                </c:pt>
                <c:pt idx="6">
                  <c:v>Wed 03</c:v>
                </c:pt>
                <c:pt idx="7">
                  <c:v>Sun 05</c:v>
                </c:pt>
              </c:strCache>
            </c:strRef>
          </c:cat>
          <c:val>
            <c:numRef>
              <c:f>Pivot!$B$24:$B$32</c:f>
              <c:numCache>
                <c:formatCode>0</c:formatCode>
                <c:ptCount val="8"/>
                <c:pt idx="0">
                  <c:v>7.7</c:v>
                </c:pt>
                <c:pt idx="1">
                  <c:v>26.1</c:v>
                </c:pt>
                <c:pt idx="2">
                  <c:v>32</c:v>
                </c:pt>
                <c:pt idx="3">
                  <c:v>49.4</c:v>
                </c:pt>
                <c:pt idx="4">
                  <c:v>104.4</c:v>
                </c:pt>
                <c:pt idx="5">
                  <c:v>111.8</c:v>
                </c:pt>
                <c:pt idx="6">
                  <c:v>125.6</c:v>
                </c:pt>
                <c:pt idx="7">
                  <c:v>142.69999999999999</c:v>
                </c:pt>
              </c:numCache>
            </c:numRef>
          </c:val>
          <c:extLst>
            <c:ext xmlns:c16="http://schemas.microsoft.com/office/drawing/2014/chart" uri="{C3380CC4-5D6E-409C-BE32-E72D297353CC}">
              <c16:uniqueId val="{00000000-0D96-4DA6-885A-53353AFC5094}"/>
            </c:ext>
          </c:extLst>
        </c:ser>
        <c:dLbls>
          <c:dLblPos val="outEnd"/>
          <c:showLegendKey val="0"/>
          <c:showVal val="1"/>
          <c:showCatName val="0"/>
          <c:showSerName val="0"/>
          <c:showPercent val="0"/>
          <c:showBubbleSize val="0"/>
        </c:dLbls>
        <c:gapWidth val="12"/>
        <c:overlap val="3"/>
        <c:axId val="1915947871"/>
        <c:axId val="1915948351"/>
      </c:barChart>
      <c:catAx>
        <c:axId val="191594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948351"/>
        <c:crosses val="autoZero"/>
        <c:auto val="1"/>
        <c:lblAlgn val="ctr"/>
        <c:lblOffset val="100"/>
        <c:noMultiLvlLbl val="0"/>
      </c:catAx>
      <c:valAx>
        <c:axId val="19159483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94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[LIBRARY.xlsx]Pivot!PivotTable9</c:name>
    <c:fmtId val="5"/>
  </c:pivotSource>
  <c:chart>
    <c:autoTitleDeleted val="1"/>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thickThin"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c:f>
              <c:strCache>
                <c:ptCount val="1"/>
                <c:pt idx="0">
                  <c:v>Total</c:v>
                </c:pt>
              </c:strCache>
            </c:strRef>
          </c:tx>
          <c:spPr>
            <a:ln w="22225" cap="rnd" cmpd="thickThin"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Pivot!$A$13:$A$19</c:f>
              <c:strCache>
                <c:ptCount val="6"/>
                <c:pt idx="0">
                  <c:v>Abuja</c:v>
                </c:pt>
                <c:pt idx="1">
                  <c:v>Enugu</c:v>
                </c:pt>
                <c:pt idx="2">
                  <c:v>Ibadan</c:v>
                </c:pt>
                <c:pt idx="3">
                  <c:v>Kano</c:v>
                </c:pt>
                <c:pt idx="4">
                  <c:v>Lagos</c:v>
                </c:pt>
                <c:pt idx="5">
                  <c:v>Port Harcourt</c:v>
                </c:pt>
              </c:strCache>
            </c:strRef>
          </c:cat>
          <c:val>
            <c:numRef>
              <c:f>Pivot!$B$13:$B$19</c:f>
              <c:numCache>
                <c:formatCode>General</c:formatCode>
                <c:ptCount val="6"/>
                <c:pt idx="0">
                  <c:v>44</c:v>
                </c:pt>
                <c:pt idx="1">
                  <c:v>25</c:v>
                </c:pt>
                <c:pt idx="2">
                  <c:v>32</c:v>
                </c:pt>
                <c:pt idx="3">
                  <c:v>34</c:v>
                </c:pt>
                <c:pt idx="4">
                  <c:v>28</c:v>
                </c:pt>
                <c:pt idx="5">
                  <c:v>37</c:v>
                </c:pt>
              </c:numCache>
            </c:numRef>
          </c:val>
          <c:smooth val="0"/>
          <c:extLst>
            <c:ext xmlns:c16="http://schemas.microsoft.com/office/drawing/2014/chart" uri="{C3380CC4-5D6E-409C-BE32-E72D297353CC}">
              <c16:uniqueId val="{00000000-1A93-4F2C-BD50-87130ED907E3}"/>
            </c:ext>
          </c:extLst>
        </c:ser>
        <c:dLbls>
          <c:dLblPos val="b"/>
          <c:showLegendKey val="0"/>
          <c:showVal val="1"/>
          <c:showCatName val="0"/>
          <c:showSerName val="0"/>
          <c:showPercent val="0"/>
          <c:showBubbleSize val="0"/>
        </c:dLbls>
        <c:dropLines>
          <c:spPr>
            <a:ln w="9525" cap="flat" cmpd="sng" algn="ctr">
              <a:solidFill>
                <a:schemeClr val="accent1">
                  <a:alpha val="55000"/>
                </a:schemeClr>
              </a:solidFill>
              <a:round/>
            </a:ln>
            <a:effectLst/>
          </c:spPr>
        </c:dropLines>
        <c:marker val="1"/>
        <c:smooth val="0"/>
        <c:axId val="1915966111"/>
        <c:axId val="1915951231"/>
      </c:lineChart>
      <c:catAx>
        <c:axId val="19159661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15951231"/>
        <c:crosses val="autoZero"/>
        <c:auto val="1"/>
        <c:lblAlgn val="ctr"/>
        <c:lblOffset val="100"/>
        <c:noMultiLvlLbl val="0"/>
      </c:catAx>
      <c:valAx>
        <c:axId val="1915951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159661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[LIBRARY.xlsx]Pivot!PivotTable8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4.5537340619307837E-3"/>
              <c:y val="5.43478260869565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5938069216757826E-2"/>
              <c:y val="-4.830917874396135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1384335154826999E-2"/>
              <c:y val="-4.830917874396135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5045537340619348E-2"/>
              <c:y val="7.246376811594203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03108730261177"/>
          <c:y val="6.6425120772946863E-2"/>
          <c:w val="0.35883424408014569"/>
          <c:h val="0.93357487922705318"/>
        </c:manualLayout>
      </c:layout>
      <c:pieChart>
        <c:varyColors val="1"/>
        <c:ser>
          <c:idx val="0"/>
          <c:order val="0"/>
          <c:tx>
            <c:strRef>
              <c:f>Pivot!$B$3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CE9-46F8-A531-6B733F2CAFC0}"/>
              </c:ext>
            </c:extLst>
          </c:dPt>
          <c:dPt>
            <c:idx val="1"/>
            <c:bubble3D val="0"/>
            <c:spPr>
              <a:solidFill>
                <a:schemeClr val="accent2"/>
              </a:solidFill>
              <a:ln>
                <a:noFill/>
              </a:ln>
              <a:effectLst/>
            </c:spPr>
            <c:extLst>
              <c:ext xmlns:c16="http://schemas.microsoft.com/office/drawing/2014/chart" uri="{C3380CC4-5D6E-409C-BE32-E72D297353CC}">
                <c16:uniqueId val="{00000003-FCE9-46F8-A531-6B733F2CAFC0}"/>
              </c:ext>
            </c:extLst>
          </c:dPt>
          <c:dPt>
            <c:idx val="2"/>
            <c:bubble3D val="0"/>
            <c:spPr>
              <a:solidFill>
                <a:schemeClr val="accent3"/>
              </a:solidFill>
              <a:ln>
                <a:noFill/>
              </a:ln>
              <a:effectLst/>
            </c:spPr>
            <c:extLst>
              <c:ext xmlns:c16="http://schemas.microsoft.com/office/drawing/2014/chart" uri="{C3380CC4-5D6E-409C-BE32-E72D297353CC}">
                <c16:uniqueId val="{00000005-FCE9-46F8-A531-6B733F2CAFC0}"/>
              </c:ext>
            </c:extLst>
          </c:dPt>
          <c:dPt>
            <c:idx val="3"/>
            <c:bubble3D val="0"/>
            <c:spPr>
              <a:solidFill>
                <a:schemeClr val="accent4"/>
              </a:solidFill>
              <a:ln>
                <a:noFill/>
              </a:ln>
              <a:effectLst/>
            </c:spPr>
            <c:extLst>
              <c:ext xmlns:c16="http://schemas.microsoft.com/office/drawing/2014/chart" uri="{C3380CC4-5D6E-409C-BE32-E72D297353CC}">
                <c16:uniqueId val="{00000007-FCE9-46F8-A531-6B733F2CAFC0}"/>
              </c:ext>
            </c:extLst>
          </c:dPt>
          <c:dLbls>
            <c:dLbl>
              <c:idx val="0"/>
              <c:layout>
                <c:manualLayout>
                  <c:x val="4.5537340619307837E-3"/>
                  <c:y val="5.43478260869565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E9-46F8-A531-6B733F2CAFC0}"/>
                </c:ext>
              </c:extLst>
            </c:dLbl>
            <c:dLbl>
              <c:idx val="1"/>
              <c:layout>
                <c:manualLayout>
                  <c:x val="1.5938069216757826E-2"/>
                  <c:y val="-4.83091787439613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E9-46F8-A531-6B733F2CAFC0}"/>
                </c:ext>
              </c:extLst>
            </c:dLbl>
            <c:dLbl>
              <c:idx val="2"/>
              <c:layout>
                <c:manualLayout>
                  <c:x val="-1.1384335154826999E-2"/>
                  <c:y val="-4.83091787439613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E9-46F8-A531-6B733F2CAFC0}"/>
                </c:ext>
              </c:extLst>
            </c:dLbl>
            <c:dLbl>
              <c:idx val="3"/>
              <c:layout>
                <c:manualLayout>
                  <c:x val="-2.5045537340619348E-2"/>
                  <c:y val="7.24637681159420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CE9-46F8-A531-6B733F2CAFC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Pivot!$A$4:$A$8</c:f>
              <c:strCache>
                <c:ptCount val="4"/>
                <c:pt idx="0">
                  <c:v>Adult</c:v>
                </c:pt>
                <c:pt idx="1">
                  <c:v>Researcher</c:v>
                </c:pt>
                <c:pt idx="2">
                  <c:v>Senior</c:v>
                </c:pt>
                <c:pt idx="3">
                  <c:v>Student</c:v>
                </c:pt>
              </c:strCache>
            </c:strRef>
          </c:cat>
          <c:val>
            <c:numRef>
              <c:f>Pivot!$B$4:$B$8</c:f>
              <c:numCache>
                <c:formatCode>General</c:formatCode>
                <c:ptCount val="4"/>
                <c:pt idx="0">
                  <c:v>49</c:v>
                </c:pt>
                <c:pt idx="1">
                  <c:v>54</c:v>
                </c:pt>
                <c:pt idx="2">
                  <c:v>55</c:v>
                </c:pt>
                <c:pt idx="3">
                  <c:v>42</c:v>
                </c:pt>
              </c:numCache>
            </c:numRef>
          </c:val>
          <c:extLst>
            <c:ext xmlns:c16="http://schemas.microsoft.com/office/drawing/2014/chart" uri="{C3380CC4-5D6E-409C-BE32-E72D297353CC}">
              <c16:uniqueId val="{00000008-FCE9-46F8-A531-6B733F2CAF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9525</xdr:colOff>
      <xdr:row>1</xdr:row>
      <xdr:rowOff>9525</xdr:rowOff>
    </xdr:from>
    <xdr:to>
      <xdr:col>7</xdr:col>
      <xdr:colOff>190500</xdr:colOff>
      <xdr:row>15</xdr:row>
      <xdr:rowOff>9525</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3975B7DE-CC97-0192-2489-ED9D31A03DF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028950" y="2000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xdr:colOff>
      <xdr:row>7</xdr:row>
      <xdr:rowOff>19050</xdr:rowOff>
    </xdr:from>
    <xdr:to>
      <xdr:col>7</xdr:col>
      <xdr:colOff>190500</xdr:colOff>
      <xdr:row>21</xdr:row>
      <xdr:rowOff>19050</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6896A450-0E05-537B-F95B-87CAC6BB142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028950" y="13525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xdr:colOff>
      <xdr:row>17</xdr:row>
      <xdr:rowOff>171450</xdr:rowOff>
    </xdr:from>
    <xdr:to>
      <xdr:col>7</xdr:col>
      <xdr:colOff>190500</xdr:colOff>
      <xdr:row>31</xdr:row>
      <xdr:rowOff>171450</xdr:rowOff>
    </xdr:to>
    <mc:AlternateContent xmlns:mc="http://schemas.openxmlformats.org/markup-compatibility/2006">
      <mc:Choice xmlns:a14="http://schemas.microsoft.com/office/drawing/2010/main" Requires="a14">
        <xdr:graphicFrame macro="">
          <xdr:nvGraphicFramePr>
            <xdr:cNvPr id="10" name="Membership_Type">
              <a:extLst>
                <a:ext uri="{FF2B5EF4-FFF2-40B4-BE49-F238E27FC236}">
                  <a16:creationId xmlns:a16="http://schemas.microsoft.com/office/drawing/2014/main" id="{2F6CAC5D-E39A-115D-A11E-5FD6CA404DF8}"/>
                </a:ext>
              </a:extLst>
            </xdr:cNvPr>
            <xdr:cNvGraphicFramePr/>
          </xdr:nvGraphicFramePr>
          <xdr:xfrm>
            <a:off x="0" y="0"/>
            <a:ext cx="0" cy="0"/>
          </xdr:xfrm>
          <a:graphic>
            <a:graphicData uri="http://schemas.microsoft.com/office/drawing/2010/slicer">
              <sle:slicer xmlns:sle="http://schemas.microsoft.com/office/drawing/2010/slicer" name="Membership_Type"/>
            </a:graphicData>
          </a:graphic>
        </xdr:graphicFrame>
      </mc:Choice>
      <mc:Fallback>
        <xdr:sp macro="" textlink="">
          <xdr:nvSpPr>
            <xdr:cNvPr id="0" name=""/>
            <xdr:cNvSpPr>
              <a:spLocks noTextEdit="1"/>
            </xdr:cNvSpPr>
          </xdr:nvSpPr>
          <xdr:spPr>
            <a:xfrm>
              <a:off x="3028950" y="34099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571500</xdr:colOff>
      <xdr:row>3</xdr:row>
      <xdr:rowOff>104774</xdr:rowOff>
    </xdr:from>
    <xdr:to>
      <xdr:col>25</xdr:col>
      <xdr:colOff>95250</xdr:colOff>
      <xdr:row>41</xdr:row>
      <xdr:rowOff>27213</xdr:rowOff>
    </xdr:to>
    <xdr:sp macro="" textlink="">
      <xdr:nvSpPr>
        <xdr:cNvPr id="2" name="Rectangle 1">
          <a:extLst>
            <a:ext uri="{FF2B5EF4-FFF2-40B4-BE49-F238E27FC236}">
              <a16:creationId xmlns:a16="http://schemas.microsoft.com/office/drawing/2014/main" id="{C99FD0FF-0E24-DADE-B62C-293D21F37971}"/>
            </a:ext>
          </a:extLst>
        </xdr:cNvPr>
        <xdr:cNvSpPr/>
      </xdr:nvSpPr>
      <xdr:spPr>
        <a:xfrm>
          <a:off x="1183821" y="676274"/>
          <a:ext cx="14219465" cy="7161439"/>
        </a:xfrm>
        <a:prstGeom prst="rect">
          <a:avLst/>
        </a:prstGeom>
        <a:solidFill>
          <a:srgbClr val="C8E6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68035</xdr:colOff>
      <xdr:row>7</xdr:row>
      <xdr:rowOff>39461</xdr:rowOff>
    </xdr:from>
    <xdr:to>
      <xdr:col>5</xdr:col>
      <xdr:colOff>517071</xdr:colOff>
      <xdr:row>14</xdr:row>
      <xdr:rowOff>77561</xdr:rowOff>
    </xdr:to>
    <xdr:sp macro="" textlink="">
      <xdr:nvSpPr>
        <xdr:cNvPr id="3" name="Rectangle: Rounded Corners 2">
          <a:extLst>
            <a:ext uri="{FF2B5EF4-FFF2-40B4-BE49-F238E27FC236}">
              <a16:creationId xmlns:a16="http://schemas.microsoft.com/office/drawing/2014/main" id="{6F8F97D1-2D29-6833-02D1-C9F9A1E2ECCE}"/>
            </a:ext>
          </a:extLst>
        </xdr:cNvPr>
        <xdr:cNvSpPr/>
      </xdr:nvSpPr>
      <xdr:spPr>
        <a:xfrm>
          <a:off x="1292678" y="1372961"/>
          <a:ext cx="2286000" cy="1371600"/>
        </a:xfrm>
        <a:prstGeom prst="roundRect">
          <a:avLst/>
        </a:prstGeom>
        <a:solidFill>
          <a:srgbClr val="4E95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301534</xdr:colOff>
      <xdr:row>7</xdr:row>
      <xdr:rowOff>39461</xdr:rowOff>
    </xdr:from>
    <xdr:to>
      <xdr:col>21</xdr:col>
      <xdr:colOff>138248</xdr:colOff>
      <xdr:row>14</xdr:row>
      <xdr:rowOff>77561</xdr:rowOff>
    </xdr:to>
    <xdr:sp macro="" textlink="">
      <xdr:nvSpPr>
        <xdr:cNvPr id="4" name="Rectangle: Rounded Corners 3">
          <a:extLst>
            <a:ext uri="{FF2B5EF4-FFF2-40B4-BE49-F238E27FC236}">
              <a16:creationId xmlns:a16="http://schemas.microsoft.com/office/drawing/2014/main" id="{ED2E8FD7-FAFA-4DD4-957F-158708188B8F}"/>
            </a:ext>
          </a:extLst>
        </xdr:cNvPr>
        <xdr:cNvSpPr/>
      </xdr:nvSpPr>
      <xdr:spPr>
        <a:xfrm>
          <a:off x="10710998" y="1372961"/>
          <a:ext cx="2286000" cy="137160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396239</xdr:colOff>
      <xdr:row>7</xdr:row>
      <xdr:rowOff>39461</xdr:rowOff>
    </xdr:from>
    <xdr:to>
      <xdr:col>17</xdr:col>
      <xdr:colOff>232954</xdr:colOff>
      <xdr:row>14</xdr:row>
      <xdr:rowOff>77561</xdr:rowOff>
    </xdr:to>
    <xdr:sp macro="" textlink="">
      <xdr:nvSpPr>
        <xdr:cNvPr id="5" name="Rectangle: Rounded Corners 4">
          <a:extLst>
            <a:ext uri="{FF2B5EF4-FFF2-40B4-BE49-F238E27FC236}">
              <a16:creationId xmlns:a16="http://schemas.microsoft.com/office/drawing/2014/main" id="{CDCE14E4-2175-4275-B0A0-EB8D70BB8C95}"/>
            </a:ext>
          </a:extLst>
        </xdr:cNvPr>
        <xdr:cNvSpPr/>
      </xdr:nvSpPr>
      <xdr:spPr>
        <a:xfrm>
          <a:off x="8356418" y="1372961"/>
          <a:ext cx="2286000" cy="1371600"/>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490945</xdr:colOff>
      <xdr:row>7</xdr:row>
      <xdr:rowOff>39461</xdr:rowOff>
    </xdr:from>
    <xdr:to>
      <xdr:col>13</xdr:col>
      <xdr:colOff>327659</xdr:colOff>
      <xdr:row>14</xdr:row>
      <xdr:rowOff>77561</xdr:rowOff>
    </xdr:to>
    <xdr:sp macro="" textlink="">
      <xdr:nvSpPr>
        <xdr:cNvPr id="6" name="Rectangle: Rounded Corners 5">
          <a:extLst>
            <a:ext uri="{FF2B5EF4-FFF2-40B4-BE49-F238E27FC236}">
              <a16:creationId xmlns:a16="http://schemas.microsoft.com/office/drawing/2014/main" id="{5F235913-D5B2-419B-90A0-B1C956A424AB}"/>
            </a:ext>
          </a:extLst>
        </xdr:cNvPr>
        <xdr:cNvSpPr/>
      </xdr:nvSpPr>
      <xdr:spPr>
        <a:xfrm>
          <a:off x="6001838" y="1372961"/>
          <a:ext cx="2286000" cy="1371600"/>
        </a:xfrm>
        <a:prstGeom prst="roundRect">
          <a:avLst/>
        </a:prstGeom>
        <a:solidFill>
          <a:srgbClr val="4E95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585651</xdr:colOff>
      <xdr:row>7</xdr:row>
      <xdr:rowOff>39461</xdr:rowOff>
    </xdr:from>
    <xdr:to>
      <xdr:col>9</xdr:col>
      <xdr:colOff>422365</xdr:colOff>
      <xdr:row>14</xdr:row>
      <xdr:rowOff>77561</xdr:rowOff>
    </xdr:to>
    <xdr:sp macro="" textlink="">
      <xdr:nvSpPr>
        <xdr:cNvPr id="7" name="Rectangle: Rounded Corners 6">
          <a:extLst>
            <a:ext uri="{FF2B5EF4-FFF2-40B4-BE49-F238E27FC236}">
              <a16:creationId xmlns:a16="http://schemas.microsoft.com/office/drawing/2014/main" id="{A3E78018-7B17-4324-A132-BF06FECB0BBD}"/>
            </a:ext>
          </a:extLst>
        </xdr:cNvPr>
        <xdr:cNvSpPr/>
      </xdr:nvSpPr>
      <xdr:spPr>
        <a:xfrm>
          <a:off x="3647258" y="1372961"/>
          <a:ext cx="2286000" cy="1371600"/>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206829</xdr:colOff>
      <xdr:row>7</xdr:row>
      <xdr:rowOff>39461</xdr:rowOff>
    </xdr:from>
    <xdr:to>
      <xdr:col>25</xdr:col>
      <xdr:colOff>43543</xdr:colOff>
      <xdr:row>14</xdr:row>
      <xdr:rowOff>77561</xdr:rowOff>
    </xdr:to>
    <xdr:sp macro="" textlink="">
      <xdr:nvSpPr>
        <xdr:cNvPr id="8" name="Rectangle: Rounded Corners 7">
          <a:extLst>
            <a:ext uri="{FF2B5EF4-FFF2-40B4-BE49-F238E27FC236}">
              <a16:creationId xmlns:a16="http://schemas.microsoft.com/office/drawing/2014/main" id="{9345DFAA-0F6D-4B79-B94B-24646202EA94}"/>
            </a:ext>
          </a:extLst>
        </xdr:cNvPr>
        <xdr:cNvSpPr/>
      </xdr:nvSpPr>
      <xdr:spPr>
        <a:xfrm>
          <a:off x="13065579" y="1372961"/>
          <a:ext cx="2286000" cy="1371600"/>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68035</xdr:colOff>
      <xdr:row>15</xdr:row>
      <xdr:rowOff>28574</xdr:rowOff>
    </xdr:from>
    <xdr:to>
      <xdr:col>11</xdr:col>
      <xdr:colOff>134982</xdr:colOff>
      <xdr:row>27</xdr:row>
      <xdr:rowOff>120014</xdr:rowOff>
    </xdr:to>
    <xdr:sp macro="" textlink="">
      <xdr:nvSpPr>
        <xdr:cNvPr id="9" name="Rectangle 8">
          <a:extLst>
            <a:ext uri="{FF2B5EF4-FFF2-40B4-BE49-F238E27FC236}">
              <a16:creationId xmlns:a16="http://schemas.microsoft.com/office/drawing/2014/main" id="{C9064EBC-9776-F64D-3B6B-1854D8C3E9C5}"/>
            </a:ext>
          </a:extLst>
        </xdr:cNvPr>
        <xdr:cNvSpPr/>
      </xdr:nvSpPr>
      <xdr:spPr>
        <a:xfrm>
          <a:off x="1292678" y="2886074"/>
          <a:ext cx="5577840" cy="2377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408212</xdr:colOff>
      <xdr:row>28</xdr:row>
      <xdr:rowOff>53067</xdr:rowOff>
    </xdr:from>
    <xdr:to>
      <xdr:col>20</xdr:col>
      <xdr:colOff>475159</xdr:colOff>
      <xdr:row>40</xdr:row>
      <xdr:rowOff>144507</xdr:rowOff>
    </xdr:to>
    <xdr:sp macro="" textlink="">
      <xdr:nvSpPr>
        <xdr:cNvPr id="10" name="Rectangle 9">
          <a:extLst>
            <a:ext uri="{FF2B5EF4-FFF2-40B4-BE49-F238E27FC236}">
              <a16:creationId xmlns:a16="http://schemas.microsoft.com/office/drawing/2014/main" id="{7E07239C-5EC0-48C8-9F03-DB678851AC23}"/>
            </a:ext>
          </a:extLst>
        </xdr:cNvPr>
        <xdr:cNvSpPr/>
      </xdr:nvSpPr>
      <xdr:spPr>
        <a:xfrm>
          <a:off x="7143748" y="5387067"/>
          <a:ext cx="5577840" cy="2377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68035</xdr:colOff>
      <xdr:row>28</xdr:row>
      <xdr:rowOff>53067</xdr:rowOff>
    </xdr:from>
    <xdr:to>
      <xdr:col>11</xdr:col>
      <xdr:colOff>134982</xdr:colOff>
      <xdr:row>40</xdr:row>
      <xdr:rowOff>144507</xdr:rowOff>
    </xdr:to>
    <xdr:sp macro="" textlink="">
      <xdr:nvSpPr>
        <xdr:cNvPr id="11" name="Rectangle 10">
          <a:extLst>
            <a:ext uri="{FF2B5EF4-FFF2-40B4-BE49-F238E27FC236}">
              <a16:creationId xmlns:a16="http://schemas.microsoft.com/office/drawing/2014/main" id="{A8DBABFA-38D6-4848-86A2-8E8F1F560DFC}"/>
            </a:ext>
          </a:extLst>
        </xdr:cNvPr>
        <xdr:cNvSpPr/>
      </xdr:nvSpPr>
      <xdr:spPr>
        <a:xfrm>
          <a:off x="1292678" y="5387067"/>
          <a:ext cx="5577840" cy="2377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408212</xdr:colOff>
      <xdr:row>15</xdr:row>
      <xdr:rowOff>28574</xdr:rowOff>
    </xdr:from>
    <xdr:to>
      <xdr:col>20</xdr:col>
      <xdr:colOff>475159</xdr:colOff>
      <xdr:row>27</xdr:row>
      <xdr:rowOff>120014</xdr:rowOff>
    </xdr:to>
    <xdr:sp macro="" textlink="">
      <xdr:nvSpPr>
        <xdr:cNvPr id="12" name="Rectangle 11">
          <a:extLst>
            <a:ext uri="{FF2B5EF4-FFF2-40B4-BE49-F238E27FC236}">
              <a16:creationId xmlns:a16="http://schemas.microsoft.com/office/drawing/2014/main" id="{61D979B8-0BDA-4DB9-B76E-985D17A1B689}"/>
            </a:ext>
          </a:extLst>
        </xdr:cNvPr>
        <xdr:cNvSpPr/>
      </xdr:nvSpPr>
      <xdr:spPr>
        <a:xfrm>
          <a:off x="7143748" y="2886074"/>
          <a:ext cx="5577840" cy="2377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2</xdr:col>
      <xdr:colOff>68035</xdr:colOff>
      <xdr:row>16</xdr:row>
      <xdr:rowOff>95249</xdr:rowOff>
    </xdr:from>
    <xdr:to>
      <xdr:col>11</xdr:col>
      <xdr:colOff>134982</xdr:colOff>
      <xdr:row>27</xdr:row>
      <xdr:rowOff>102869</xdr:rowOff>
    </xdr:to>
    <xdr:graphicFrame macro="">
      <xdr:nvGraphicFramePr>
        <xdr:cNvPr id="13" name="Chart 5">
          <a:extLst>
            <a:ext uri="{FF2B5EF4-FFF2-40B4-BE49-F238E27FC236}">
              <a16:creationId xmlns:a16="http://schemas.microsoft.com/office/drawing/2014/main" id="{82B3D73E-8070-DC48-4E8D-820E5DC1F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115389</xdr:colOff>
      <xdr:row>15</xdr:row>
      <xdr:rowOff>77560</xdr:rowOff>
    </xdr:from>
    <xdr:to>
      <xdr:col>25</xdr:col>
      <xdr:colOff>43543</xdr:colOff>
      <xdr:row>20</xdr:row>
      <xdr:rowOff>130900</xdr:rowOff>
    </xdr:to>
    <mc:AlternateContent xmlns:mc="http://schemas.openxmlformats.org/markup-compatibility/2006">
      <mc:Choice xmlns:a14="http://schemas.microsoft.com/office/drawing/2010/main" Requires="a14">
        <xdr:graphicFrame macro="">
          <xdr:nvGraphicFramePr>
            <xdr:cNvPr id="14" name="Gender 1">
              <a:extLst>
                <a:ext uri="{FF2B5EF4-FFF2-40B4-BE49-F238E27FC236}">
                  <a16:creationId xmlns:a16="http://schemas.microsoft.com/office/drawing/2014/main" id="{3A8179A6-D973-4E6F-BDB4-802BB85E520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974139" y="2935060"/>
              <a:ext cx="237744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115389</xdr:colOff>
      <xdr:row>20</xdr:row>
      <xdr:rowOff>145595</xdr:rowOff>
    </xdr:from>
    <xdr:to>
      <xdr:col>25</xdr:col>
      <xdr:colOff>43543</xdr:colOff>
      <xdr:row>28</xdr:row>
      <xdr:rowOff>176075</xdr:rowOff>
    </xdr:to>
    <mc:AlternateContent xmlns:mc="http://schemas.openxmlformats.org/markup-compatibility/2006">
      <mc:Choice xmlns:a14="http://schemas.microsoft.com/office/drawing/2010/main" Requires="a14">
        <xdr:graphicFrame macro="">
          <xdr:nvGraphicFramePr>
            <xdr:cNvPr id="15" name="Membership_Type 1">
              <a:extLst>
                <a:ext uri="{FF2B5EF4-FFF2-40B4-BE49-F238E27FC236}">
                  <a16:creationId xmlns:a16="http://schemas.microsoft.com/office/drawing/2014/main" id="{175E9044-9CEE-46A7-992F-A6FF7EAB4A1A}"/>
                </a:ext>
              </a:extLst>
            </xdr:cNvPr>
            <xdr:cNvGraphicFramePr/>
          </xdr:nvGraphicFramePr>
          <xdr:xfrm>
            <a:off x="0" y="0"/>
            <a:ext cx="0" cy="0"/>
          </xdr:xfrm>
          <a:graphic>
            <a:graphicData uri="http://schemas.microsoft.com/office/drawing/2010/slicer">
              <sle:slicer xmlns:sle="http://schemas.microsoft.com/office/drawing/2010/slicer" name="Membership_Type 1"/>
            </a:graphicData>
          </a:graphic>
        </xdr:graphicFrame>
      </mc:Choice>
      <mc:Fallback>
        <xdr:sp macro="" textlink="">
          <xdr:nvSpPr>
            <xdr:cNvPr id="0" name=""/>
            <xdr:cNvSpPr>
              <a:spLocks noTextEdit="1"/>
            </xdr:cNvSpPr>
          </xdr:nvSpPr>
          <xdr:spPr>
            <a:xfrm>
              <a:off x="12974139" y="3955595"/>
              <a:ext cx="237744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115389</xdr:colOff>
      <xdr:row>28</xdr:row>
      <xdr:rowOff>163286</xdr:rowOff>
    </xdr:from>
    <xdr:to>
      <xdr:col>25</xdr:col>
      <xdr:colOff>43543</xdr:colOff>
      <xdr:row>40</xdr:row>
      <xdr:rowOff>144507</xdr:rowOff>
    </xdr:to>
    <mc:AlternateContent xmlns:mc="http://schemas.openxmlformats.org/markup-compatibility/2006">
      <mc:Choice xmlns:a14="http://schemas.microsoft.com/office/drawing/2010/main" Requires="a14">
        <xdr:graphicFrame macro="">
          <xdr:nvGraphicFramePr>
            <xdr:cNvPr id="16" name="City 1">
              <a:extLst>
                <a:ext uri="{FF2B5EF4-FFF2-40B4-BE49-F238E27FC236}">
                  <a16:creationId xmlns:a16="http://schemas.microsoft.com/office/drawing/2014/main" id="{5348282C-93BA-4EE0-AD4B-DDCB8D3ECB7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2974139" y="5497286"/>
              <a:ext cx="2377440" cy="2267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390524</xdr:colOff>
      <xdr:row>16</xdr:row>
      <xdr:rowOff>99332</xdr:rowOff>
    </xdr:from>
    <xdr:to>
      <xdr:col>20</xdr:col>
      <xdr:colOff>457471</xdr:colOff>
      <xdr:row>27</xdr:row>
      <xdr:rowOff>106952</xdr:rowOff>
    </xdr:to>
    <xdr:graphicFrame macro="">
      <xdr:nvGraphicFramePr>
        <xdr:cNvPr id="17" name="Chart 4">
          <a:extLst>
            <a:ext uri="{FF2B5EF4-FFF2-40B4-BE49-F238E27FC236}">
              <a16:creationId xmlns:a16="http://schemas.microsoft.com/office/drawing/2014/main" id="{B9056884-B7E2-32B7-9C59-34A78C309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54427</xdr:colOff>
      <xdr:row>29</xdr:row>
      <xdr:rowOff>149679</xdr:rowOff>
    </xdr:from>
    <xdr:to>
      <xdr:col>11</xdr:col>
      <xdr:colOff>121374</xdr:colOff>
      <xdr:row>40</xdr:row>
      <xdr:rowOff>157299</xdr:rowOff>
    </xdr:to>
    <xdr:graphicFrame macro="">
      <xdr:nvGraphicFramePr>
        <xdr:cNvPr id="18" name="Chart 3">
          <a:extLst>
            <a:ext uri="{FF2B5EF4-FFF2-40B4-BE49-F238E27FC236}">
              <a16:creationId xmlns:a16="http://schemas.microsoft.com/office/drawing/2014/main" id="{5BA484B8-9037-5794-1403-F4B4F4212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405493</xdr:colOff>
      <xdr:row>29</xdr:row>
      <xdr:rowOff>136070</xdr:rowOff>
    </xdr:from>
    <xdr:to>
      <xdr:col>20</xdr:col>
      <xdr:colOff>472440</xdr:colOff>
      <xdr:row>40</xdr:row>
      <xdr:rowOff>143690</xdr:rowOff>
    </xdr:to>
    <xdr:graphicFrame macro="">
      <xdr:nvGraphicFramePr>
        <xdr:cNvPr id="19" name="Chart 2">
          <a:extLst>
            <a:ext uri="{FF2B5EF4-FFF2-40B4-BE49-F238E27FC236}">
              <a16:creationId xmlns:a16="http://schemas.microsoft.com/office/drawing/2014/main" id="{7CE5D717-F3CE-3719-DF54-88374F7A9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95250</xdr:colOff>
      <xdr:row>7</xdr:row>
      <xdr:rowOff>108858</xdr:rowOff>
    </xdr:from>
    <xdr:to>
      <xdr:col>5</xdr:col>
      <xdr:colOff>489857</xdr:colOff>
      <xdr:row>13</xdr:row>
      <xdr:rowOff>149680</xdr:rowOff>
    </xdr:to>
    <xdr:sp macro="" textlink="">
      <xdr:nvSpPr>
        <xdr:cNvPr id="20" name="TextBox 19">
          <a:extLst>
            <a:ext uri="{FF2B5EF4-FFF2-40B4-BE49-F238E27FC236}">
              <a16:creationId xmlns:a16="http://schemas.microsoft.com/office/drawing/2014/main" id="{281BD405-BFF6-50C0-AD88-B555D916206F}"/>
            </a:ext>
          </a:extLst>
        </xdr:cNvPr>
        <xdr:cNvSpPr txBox="1"/>
      </xdr:nvSpPr>
      <xdr:spPr>
        <a:xfrm>
          <a:off x="1319893" y="1442358"/>
          <a:ext cx="2231571" cy="1183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600" b="1" i="0" u="none" strike="noStrike">
            <a:solidFill>
              <a:schemeClr val="dk1"/>
            </a:solidFill>
            <a:effectLst/>
            <a:latin typeface="+mn-lt"/>
            <a:ea typeface="+mn-ea"/>
            <a:cs typeface="+mn-cs"/>
          </a:endParaRPr>
        </a:p>
        <a:p>
          <a:pPr algn="ctr"/>
          <a:r>
            <a:rPr lang="en-US" sz="1600" b="1" i="0" u="none" strike="noStrike">
              <a:solidFill>
                <a:schemeClr val="bg1"/>
              </a:solidFill>
              <a:effectLst/>
              <a:latin typeface="+mn-lt"/>
              <a:ea typeface="+mn-ea"/>
              <a:cs typeface="+mn-cs"/>
            </a:rPr>
            <a:t>Total Patrons</a:t>
          </a:r>
          <a:r>
            <a:rPr lang="en-US" sz="1600" b="1">
              <a:solidFill>
                <a:schemeClr val="bg1"/>
              </a:solidFill>
              <a:effectLst/>
            </a:rPr>
            <a:t> </a:t>
          </a:r>
        </a:p>
        <a:p>
          <a:pPr algn="ctr"/>
          <a:r>
            <a:rPr lang="en-US" sz="3200" b="1" i="0" u="none" strike="noStrike">
              <a:solidFill>
                <a:schemeClr val="bg1"/>
              </a:solidFill>
              <a:effectLst/>
              <a:latin typeface="+mn-lt"/>
              <a:ea typeface="+mn-ea"/>
              <a:cs typeface="+mn-cs"/>
            </a:rPr>
            <a:t>200</a:t>
          </a:r>
          <a:r>
            <a:rPr lang="en-US" sz="3200" b="1">
              <a:effectLst/>
            </a:rPr>
            <a:t> </a:t>
          </a:r>
          <a:endParaRPr lang="en-US" sz="3200" b="1"/>
        </a:p>
      </xdr:txBody>
    </xdr:sp>
    <xdr:clientData/>
  </xdr:twoCellAnchor>
  <xdr:twoCellAnchor>
    <xdr:from>
      <xdr:col>6</xdr:col>
      <xdr:colOff>543</xdr:colOff>
      <xdr:row>7</xdr:row>
      <xdr:rowOff>107498</xdr:rowOff>
    </xdr:from>
    <xdr:to>
      <xdr:col>9</xdr:col>
      <xdr:colOff>395150</xdr:colOff>
      <xdr:row>13</xdr:row>
      <xdr:rowOff>136072</xdr:rowOff>
    </xdr:to>
    <xdr:sp macro="" textlink="">
      <xdr:nvSpPr>
        <xdr:cNvPr id="23" name="TextBox 22">
          <a:extLst>
            <a:ext uri="{FF2B5EF4-FFF2-40B4-BE49-F238E27FC236}">
              <a16:creationId xmlns:a16="http://schemas.microsoft.com/office/drawing/2014/main" id="{A2A4688F-16AF-40FD-9688-51850CE45E6D}"/>
            </a:ext>
          </a:extLst>
        </xdr:cNvPr>
        <xdr:cNvSpPr txBox="1"/>
      </xdr:nvSpPr>
      <xdr:spPr>
        <a:xfrm>
          <a:off x="3674472" y="1440998"/>
          <a:ext cx="2231571" cy="1171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600" b="1" i="0" u="none" strike="noStrike">
            <a:solidFill>
              <a:schemeClr val="dk1"/>
            </a:solidFill>
            <a:effectLst/>
            <a:latin typeface="+mn-lt"/>
            <a:ea typeface="+mn-ea"/>
            <a:cs typeface="+mn-cs"/>
          </a:endParaRPr>
        </a:p>
        <a:p>
          <a:pPr algn="ctr"/>
          <a:r>
            <a:rPr lang="en-US" sz="1600" b="1" i="0" u="none" strike="noStrike">
              <a:solidFill>
                <a:schemeClr val="bg1"/>
              </a:solidFill>
              <a:effectLst/>
              <a:latin typeface="+mn-lt"/>
              <a:ea typeface="+mn-ea"/>
              <a:cs typeface="+mn-cs"/>
            </a:rPr>
            <a:t>Avg Borrow Days</a:t>
          </a:r>
          <a:r>
            <a:rPr lang="en-US" sz="1600" b="1">
              <a:solidFill>
                <a:schemeClr val="bg1"/>
              </a:solidFill>
              <a:effectLst/>
            </a:rPr>
            <a:t> </a:t>
          </a:r>
        </a:p>
        <a:p>
          <a:pPr algn="ctr"/>
          <a:r>
            <a:rPr lang="en-US" sz="3200" b="1" i="0" u="none" strike="noStrike">
              <a:solidFill>
                <a:schemeClr val="bg1"/>
              </a:solidFill>
              <a:effectLst/>
              <a:latin typeface="+mn-lt"/>
              <a:ea typeface="+mn-ea"/>
              <a:cs typeface="+mn-cs"/>
            </a:rPr>
            <a:t>15.13</a:t>
          </a:r>
          <a:r>
            <a:rPr lang="en-US" sz="3200" b="1">
              <a:solidFill>
                <a:schemeClr val="bg1"/>
              </a:solidFill>
              <a:effectLst/>
            </a:rPr>
            <a:t> </a:t>
          </a:r>
          <a:endParaRPr lang="en-US" sz="3200" b="1">
            <a:solidFill>
              <a:schemeClr val="bg1"/>
            </a:solidFill>
          </a:endParaRPr>
        </a:p>
      </xdr:txBody>
    </xdr:sp>
    <xdr:clientData/>
  </xdr:twoCellAnchor>
  <xdr:twoCellAnchor>
    <xdr:from>
      <xdr:col>9</xdr:col>
      <xdr:colOff>531767</xdr:colOff>
      <xdr:row>7</xdr:row>
      <xdr:rowOff>107498</xdr:rowOff>
    </xdr:from>
    <xdr:to>
      <xdr:col>13</xdr:col>
      <xdr:colOff>285751</xdr:colOff>
      <xdr:row>13</xdr:row>
      <xdr:rowOff>108858</xdr:rowOff>
    </xdr:to>
    <xdr:sp macro="" textlink="">
      <xdr:nvSpPr>
        <xdr:cNvPr id="24" name="TextBox 23">
          <a:extLst>
            <a:ext uri="{FF2B5EF4-FFF2-40B4-BE49-F238E27FC236}">
              <a16:creationId xmlns:a16="http://schemas.microsoft.com/office/drawing/2014/main" id="{09CA7DF9-42CD-4B42-AADD-C2A5D9B0B674}"/>
            </a:ext>
          </a:extLst>
        </xdr:cNvPr>
        <xdr:cNvSpPr txBox="1"/>
      </xdr:nvSpPr>
      <xdr:spPr>
        <a:xfrm>
          <a:off x="6042660" y="1440998"/>
          <a:ext cx="2203270" cy="114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600" b="1" i="0" u="none" strike="noStrike">
            <a:solidFill>
              <a:schemeClr val="dk1"/>
            </a:solidFill>
            <a:effectLst/>
            <a:latin typeface="+mn-lt"/>
            <a:ea typeface="+mn-ea"/>
            <a:cs typeface="+mn-cs"/>
          </a:endParaRPr>
        </a:p>
        <a:p>
          <a:pPr algn="ctr"/>
          <a:r>
            <a:rPr lang="en-US" sz="1600" b="1" i="0" u="none" strike="noStrike">
              <a:solidFill>
                <a:schemeClr val="bg1"/>
              </a:solidFill>
              <a:effectLst/>
              <a:latin typeface="+mn-lt"/>
              <a:ea typeface="+mn-ea"/>
              <a:cs typeface="+mn-cs"/>
            </a:rPr>
            <a:t>Avg Satisfaction Score</a:t>
          </a:r>
        </a:p>
        <a:p>
          <a:pPr algn="ctr"/>
          <a:r>
            <a:rPr lang="en-US" sz="3200" b="1">
              <a:solidFill>
                <a:schemeClr val="bg1"/>
              </a:solidFill>
              <a:effectLst/>
            </a:rPr>
            <a:t> </a:t>
          </a:r>
          <a:r>
            <a:rPr lang="en-US" sz="3200" b="1" i="0" u="none" strike="noStrike">
              <a:solidFill>
                <a:schemeClr val="bg1"/>
              </a:solidFill>
              <a:effectLst/>
              <a:latin typeface="+mn-lt"/>
              <a:ea typeface="+mn-ea"/>
              <a:cs typeface="+mn-cs"/>
            </a:rPr>
            <a:t>5.40</a:t>
          </a:r>
          <a:r>
            <a:rPr lang="en-US" sz="3200" b="1">
              <a:solidFill>
                <a:schemeClr val="bg1"/>
              </a:solidFill>
              <a:effectLst/>
            </a:rPr>
            <a:t> </a:t>
          </a:r>
          <a:endParaRPr lang="en-US" sz="3200" b="1">
            <a:solidFill>
              <a:schemeClr val="bg1"/>
            </a:solidFill>
          </a:endParaRPr>
        </a:p>
      </xdr:txBody>
    </xdr:sp>
    <xdr:clientData/>
  </xdr:twoCellAnchor>
  <xdr:twoCellAnchor>
    <xdr:from>
      <xdr:col>13</xdr:col>
      <xdr:colOff>423453</xdr:colOff>
      <xdr:row>7</xdr:row>
      <xdr:rowOff>134711</xdr:rowOff>
    </xdr:from>
    <xdr:to>
      <xdr:col>17</xdr:col>
      <xdr:colOff>205739</xdr:colOff>
      <xdr:row>14</xdr:row>
      <xdr:rowOff>0</xdr:rowOff>
    </xdr:to>
    <xdr:sp macro="" textlink="">
      <xdr:nvSpPr>
        <xdr:cNvPr id="25" name="TextBox 24">
          <a:extLst>
            <a:ext uri="{FF2B5EF4-FFF2-40B4-BE49-F238E27FC236}">
              <a16:creationId xmlns:a16="http://schemas.microsoft.com/office/drawing/2014/main" id="{E5122D49-8F45-40D9-9093-2C291B7BC31B}"/>
            </a:ext>
          </a:extLst>
        </xdr:cNvPr>
        <xdr:cNvSpPr txBox="1"/>
      </xdr:nvSpPr>
      <xdr:spPr>
        <a:xfrm>
          <a:off x="8383632" y="1468211"/>
          <a:ext cx="2231571" cy="1198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600" b="1" i="0" u="none" strike="noStrike">
            <a:solidFill>
              <a:schemeClr val="dk1"/>
            </a:solidFill>
            <a:effectLst/>
            <a:latin typeface="+mn-lt"/>
            <a:ea typeface="+mn-ea"/>
            <a:cs typeface="+mn-cs"/>
          </a:endParaRPr>
        </a:p>
        <a:p>
          <a:pPr algn="ctr"/>
          <a:r>
            <a:rPr lang="en-US" sz="1600" b="1" i="0" u="none" strike="noStrike">
              <a:solidFill>
                <a:schemeClr val="bg1"/>
              </a:solidFill>
              <a:effectLst/>
              <a:latin typeface="+mn-lt"/>
              <a:ea typeface="+mn-ea"/>
              <a:cs typeface="+mn-cs"/>
            </a:rPr>
            <a:t>Total Books Borrowed</a:t>
          </a:r>
        </a:p>
        <a:p>
          <a:pPr algn="ctr"/>
          <a:r>
            <a:rPr lang="en-US" sz="3200" b="1">
              <a:solidFill>
                <a:schemeClr val="bg1"/>
              </a:solidFill>
              <a:effectLst/>
            </a:rPr>
            <a:t> </a:t>
          </a:r>
          <a:r>
            <a:rPr lang="en-US" sz="3200" b="1" i="0" u="none" strike="noStrike">
              <a:solidFill>
                <a:schemeClr val="bg1"/>
              </a:solidFill>
              <a:effectLst/>
              <a:latin typeface="+mn-lt"/>
              <a:ea typeface="+mn-ea"/>
              <a:cs typeface="+mn-cs"/>
            </a:rPr>
            <a:t>3892</a:t>
          </a:r>
          <a:r>
            <a:rPr lang="en-US" sz="3200" b="1">
              <a:solidFill>
                <a:schemeClr val="bg1"/>
              </a:solidFill>
              <a:effectLst/>
            </a:rPr>
            <a:t> </a:t>
          </a:r>
          <a:endParaRPr lang="en-US" sz="3200" b="1">
            <a:solidFill>
              <a:schemeClr val="bg1"/>
            </a:solidFill>
          </a:endParaRPr>
        </a:p>
      </xdr:txBody>
    </xdr:sp>
    <xdr:clientData/>
  </xdr:twoCellAnchor>
  <xdr:twoCellAnchor>
    <xdr:from>
      <xdr:col>17</xdr:col>
      <xdr:colOff>301533</xdr:colOff>
      <xdr:row>7</xdr:row>
      <xdr:rowOff>121103</xdr:rowOff>
    </xdr:from>
    <xdr:to>
      <xdr:col>21</xdr:col>
      <xdr:colOff>83818</xdr:colOff>
      <xdr:row>13</xdr:row>
      <xdr:rowOff>122464</xdr:rowOff>
    </xdr:to>
    <xdr:sp macro="" textlink="">
      <xdr:nvSpPr>
        <xdr:cNvPr id="26" name="TextBox 25">
          <a:extLst>
            <a:ext uri="{FF2B5EF4-FFF2-40B4-BE49-F238E27FC236}">
              <a16:creationId xmlns:a16="http://schemas.microsoft.com/office/drawing/2014/main" id="{8DEE7BC9-7363-48BD-B015-315158C0D096}"/>
            </a:ext>
          </a:extLst>
        </xdr:cNvPr>
        <xdr:cNvSpPr txBox="1"/>
      </xdr:nvSpPr>
      <xdr:spPr>
        <a:xfrm>
          <a:off x="10710997" y="1454603"/>
          <a:ext cx="2231571" cy="1144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600" b="1" i="0" u="none" strike="noStrike">
            <a:solidFill>
              <a:schemeClr val="dk1"/>
            </a:solidFill>
            <a:effectLst/>
            <a:latin typeface="+mn-lt"/>
            <a:ea typeface="+mn-ea"/>
            <a:cs typeface="+mn-cs"/>
          </a:endParaRPr>
        </a:p>
        <a:p>
          <a:pPr algn="ctr"/>
          <a:r>
            <a:rPr lang="en-US" sz="1600" b="1" i="0" u="none" strike="noStrike">
              <a:solidFill>
                <a:schemeClr val="bg1"/>
              </a:solidFill>
              <a:effectLst/>
              <a:latin typeface="+mn-lt"/>
              <a:ea typeface="+mn-ea"/>
              <a:cs typeface="+mn-cs"/>
            </a:rPr>
            <a:t>Total Fine Collected</a:t>
          </a:r>
          <a:r>
            <a:rPr lang="en-US" sz="1600" b="1">
              <a:solidFill>
                <a:schemeClr val="bg1"/>
              </a:solidFill>
              <a:effectLst/>
            </a:rPr>
            <a:t> </a:t>
          </a:r>
        </a:p>
        <a:p>
          <a:pPr algn="ctr"/>
          <a:r>
            <a:rPr lang="en-US" sz="3200" b="1" i="0" u="none" strike="noStrike">
              <a:solidFill>
                <a:schemeClr val="bg1"/>
              </a:solidFill>
              <a:effectLst/>
              <a:latin typeface="+mn-lt"/>
              <a:ea typeface="+mn-ea"/>
              <a:cs typeface="+mn-cs"/>
            </a:rPr>
            <a:t>284473</a:t>
          </a:r>
          <a:r>
            <a:rPr lang="en-US" sz="3200" b="1">
              <a:solidFill>
                <a:schemeClr val="bg1"/>
              </a:solidFill>
              <a:effectLst/>
            </a:rPr>
            <a:t> </a:t>
          </a:r>
          <a:endParaRPr lang="en-US" sz="3200" b="1">
            <a:solidFill>
              <a:schemeClr val="bg1"/>
            </a:solidFill>
          </a:endParaRPr>
        </a:p>
      </xdr:txBody>
    </xdr:sp>
    <xdr:clientData/>
  </xdr:twoCellAnchor>
  <xdr:twoCellAnchor>
    <xdr:from>
      <xdr:col>21</xdr:col>
      <xdr:colOff>231321</xdr:colOff>
      <xdr:row>7</xdr:row>
      <xdr:rowOff>122465</xdr:rowOff>
    </xdr:from>
    <xdr:to>
      <xdr:col>25</xdr:col>
      <xdr:colOff>13607</xdr:colOff>
      <xdr:row>13</xdr:row>
      <xdr:rowOff>68036</xdr:rowOff>
    </xdr:to>
    <xdr:sp macro="" textlink="">
      <xdr:nvSpPr>
        <xdr:cNvPr id="27" name="TextBox 26">
          <a:extLst>
            <a:ext uri="{FF2B5EF4-FFF2-40B4-BE49-F238E27FC236}">
              <a16:creationId xmlns:a16="http://schemas.microsoft.com/office/drawing/2014/main" id="{17A8CAD6-9665-6FFE-6754-0A5C9F04B05E}"/>
            </a:ext>
          </a:extLst>
        </xdr:cNvPr>
        <xdr:cNvSpPr txBox="1"/>
      </xdr:nvSpPr>
      <xdr:spPr>
        <a:xfrm>
          <a:off x="13090071" y="1455965"/>
          <a:ext cx="2231572" cy="1088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600" b="1" i="0" u="none" strike="noStrike">
            <a:solidFill>
              <a:schemeClr val="dk1"/>
            </a:solidFill>
            <a:effectLst/>
            <a:latin typeface="+mn-lt"/>
            <a:ea typeface="+mn-ea"/>
            <a:cs typeface="+mn-cs"/>
          </a:endParaRPr>
        </a:p>
        <a:p>
          <a:pPr algn="ctr"/>
          <a:r>
            <a:rPr lang="en-US" sz="1600" b="1" i="0" u="none" strike="noStrike">
              <a:solidFill>
                <a:schemeClr val="bg1"/>
              </a:solidFill>
              <a:effectLst/>
              <a:latin typeface="+mn-lt"/>
              <a:ea typeface="+mn-ea"/>
              <a:cs typeface="+mn-cs"/>
            </a:rPr>
            <a:t>Avg Digital Usage Hours</a:t>
          </a:r>
          <a:r>
            <a:rPr lang="en-US" sz="1600" b="1">
              <a:solidFill>
                <a:schemeClr val="bg1"/>
              </a:solidFill>
              <a:effectLst/>
            </a:rPr>
            <a:t> </a:t>
          </a:r>
        </a:p>
        <a:p>
          <a:pPr algn="ctr"/>
          <a:r>
            <a:rPr lang="en-US" sz="3200" b="1" i="0" u="none" strike="noStrike">
              <a:solidFill>
                <a:schemeClr val="bg1"/>
              </a:solidFill>
              <a:effectLst/>
              <a:latin typeface="+mn-lt"/>
              <a:ea typeface="+mn-ea"/>
              <a:cs typeface="+mn-cs"/>
            </a:rPr>
            <a:t>27.43</a:t>
          </a:r>
          <a:r>
            <a:rPr lang="en-US" sz="3200" b="1">
              <a:solidFill>
                <a:schemeClr val="bg1"/>
              </a:solidFill>
              <a:effectLst/>
            </a:rPr>
            <a:t> </a:t>
          </a:r>
          <a:endParaRPr lang="en-US" sz="3200" b="1">
            <a:solidFill>
              <a:schemeClr val="bg1"/>
            </a:solidFill>
          </a:endParaRPr>
        </a:p>
      </xdr:txBody>
    </xdr:sp>
    <xdr:clientData/>
  </xdr:twoCellAnchor>
  <xdr:twoCellAnchor>
    <xdr:from>
      <xdr:col>2</xdr:col>
      <xdr:colOff>68035</xdr:colOff>
      <xdr:row>28</xdr:row>
      <xdr:rowOff>54429</xdr:rowOff>
    </xdr:from>
    <xdr:to>
      <xdr:col>10</xdr:col>
      <xdr:colOff>598715</xdr:colOff>
      <xdr:row>30</xdr:row>
      <xdr:rowOff>68036</xdr:rowOff>
    </xdr:to>
    <xdr:sp macro="" textlink="">
      <xdr:nvSpPr>
        <xdr:cNvPr id="32" name="TextBox 31">
          <a:extLst>
            <a:ext uri="{FF2B5EF4-FFF2-40B4-BE49-F238E27FC236}">
              <a16:creationId xmlns:a16="http://schemas.microsoft.com/office/drawing/2014/main" id="{08C27677-36C4-613D-602E-188272314A07}"/>
            </a:ext>
          </a:extLst>
        </xdr:cNvPr>
        <xdr:cNvSpPr txBox="1"/>
      </xdr:nvSpPr>
      <xdr:spPr>
        <a:xfrm>
          <a:off x="1292678" y="5388429"/>
          <a:ext cx="5429251" cy="394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Event Attendance by City</a:t>
          </a:r>
        </a:p>
      </xdr:txBody>
    </xdr:sp>
    <xdr:clientData/>
  </xdr:twoCellAnchor>
  <xdr:twoCellAnchor>
    <xdr:from>
      <xdr:col>11</xdr:col>
      <xdr:colOff>421822</xdr:colOff>
      <xdr:row>28</xdr:row>
      <xdr:rowOff>40820</xdr:rowOff>
    </xdr:from>
    <xdr:to>
      <xdr:col>20</xdr:col>
      <xdr:colOff>285751</xdr:colOff>
      <xdr:row>30</xdr:row>
      <xdr:rowOff>40821</xdr:rowOff>
    </xdr:to>
    <xdr:sp macro="" textlink="">
      <xdr:nvSpPr>
        <xdr:cNvPr id="34" name="TextBox 33">
          <a:extLst>
            <a:ext uri="{FF2B5EF4-FFF2-40B4-BE49-F238E27FC236}">
              <a16:creationId xmlns:a16="http://schemas.microsoft.com/office/drawing/2014/main" id="{1B4FC1EF-214A-C838-396B-7D018AD7B7F8}"/>
            </a:ext>
          </a:extLst>
        </xdr:cNvPr>
        <xdr:cNvSpPr txBox="1"/>
      </xdr:nvSpPr>
      <xdr:spPr>
        <a:xfrm>
          <a:off x="7157358" y="5374820"/>
          <a:ext cx="5374822"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Books Borrowed by Membership Type</a:t>
          </a:r>
        </a:p>
      </xdr:txBody>
    </xdr:sp>
    <xdr:clientData/>
  </xdr:twoCellAnchor>
  <xdr:twoCellAnchor>
    <xdr:from>
      <xdr:col>2</xdr:col>
      <xdr:colOff>68036</xdr:colOff>
      <xdr:row>15</xdr:row>
      <xdr:rowOff>27214</xdr:rowOff>
    </xdr:from>
    <xdr:to>
      <xdr:col>10</xdr:col>
      <xdr:colOff>598715</xdr:colOff>
      <xdr:row>17</xdr:row>
      <xdr:rowOff>68035</xdr:rowOff>
    </xdr:to>
    <xdr:sp macro="" textlink="">
      <xdr:nvSpPr>
        <xdr:cNvPr id="35" name="TextBox 34">
          <a:extLst>
            <a:ext uri="{FF2B5EF4-FFF2-40B4-BE49-F238E27FC236}">
              <a16:creationId xmlns:a16="http://schemas.microsoft.com/office/drawing/2014/main" id="{910C2563-721C-2C59-172A-9480EDDD759B}"/>
            </a:ext>
          </a:extLst>
        </xdr:cNvPr>
        <xdr:cNvSpPr txBox="1"/>
      </xdr:nvSpPr>
      <xdr:spPr>
        <a:xfrm>
          <a:off x="1292679" y="2884714"/>
          <a:ext cx="5429250"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Satisfaction Score Distribution</a:t>
          </a:r>
        </a:p>
      </xdr:txBody>
    </xdr:sp>
    <xdr:clientData/>
  </xdr:twoCellAnchor>
  <xdr:twoCellAnchor>
    <xdr:from>
      <xdr:col>11</xdr:col>
      <xdr:colOff>408215</xdr:colOff>
      <xdr:row>14</xdr:row>
      <xdr:rowOff>163285</xdr:rowOff>
    </xdr:from>
    <xdr:to>
      <xdr:col>20</xdr:col>
      <xdr:colOff>231322</xdr:colOff>
      <xdr:row>16</xdr:row>
      <xdr:rowOff>190499</xdr:rowOff>
    </xdr:to>
    <xdr:sp macro="" textlink="">
      <xdr:nvSpPr>
        <xdr:cNvPr id="36" name="TextBox 35">
          <a:extLst>
            <a:ext uri="{FF2B5EF4-FFF2-40B4-BE49-F238E27FC236}">
              <a16:creationId xmlns:a16="http://schemas.microsoft.com/office/drawing/2014/main" id="{8AF583C7-BEB9-4B85-2220-AB2F14E8C770}"/>
            </a:ext>
          </a:extLst>
        </xdr:cNvPr>
        <xdr:cNvSpPr txBox="1"/>
      </xdr:nvSpPr>
      <xdr:spPr>
        <a:xfrm>
          <a:off x="7143751" y="2830285"/>
          <a:ext cx="5334000"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Digital Usage Trend</a:t>
          </a:r>
        </a:p>
      </xdr:txBody>
    </xdr:sp>
    <xdr:clientData/>
  </xdr:twoCellAnchor>
  <xdr:twoCellAnchor>
    <xdr:from>
      <xdr:col>2</xdr:col>
      <xdr:colOff>353786</xdr:colOff>
      <xdr:row>3</xdr:row>
      <xdr:rowOff>149679</xdr:rowOff>
    </xdr:from>
    <xdr:to>
      <xdr:col>24</xdr:col>
      <xdr:colOff>176893</xdr:colOff>
      <xdr:row>6</xdr:row>
      <xdr:rowOff>122464</xdr:rowOff>
    </xdr:to>
    <xdr:sp macro="" textlink="">
      <xdr:nvSpPr>
        <xdr:cNvPr id="37" name="TextBox 36">
          <a:extLst>
            <a:ext uri="{FF2B5EF4-FFF2-40B4-BE49-F238E27FC236}">
              <a16:creationId xmlns:a16="http://schemas.microsoft.com/office/drawing/2014/main" id="{51701502-FB3F-9B67-6E72-3A7F9A5269ED}"/>
            </a:ext>
          </a:extLst>
        </xdr:cNvPr>
        <xdr:cNvSpPr txBox="1"/>
      </xdr:nvSpPr>
      <xdr:spPr>
        <a:xfrm>
          <a:off x="1578429" y="721179"/>
          <a:ext cx="13294178" cy="54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cap="none" spc="0">
              <a:ln w="12700">
                <a:solidFill>
                  <a:schemeClr val="accent3">
                    <a:lumMod val="50000"/>
                  </a:schemeClr>
                </a:solidFill>
                <a:prstDash val="solid"/>
              </a:ln>
              <a:solidFill>
                <a:schemeClr val="bg1"/>
              </a:solidFill>
              <a:effectLst>
                <a:innerShdw blurRad="177800">
                  <a:schemeClr val="accent3">
                    <a:lumMod val="50000"/>
                  </a:schemeClr>
                </a:innerShdw>
              </a:effectLst>
            </a:rPr>
            <a:t>📖 </a:t>
          </a:r>
          <a:r>
            <a:rPr lang="en-US" sz="32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NIGERIA LIBRARY USER ENGAGEMENT DASHBOARD </a:t>
          </a:r>
          <a:r>
            <a:rPr lang="en-US" sz="3200" b="1" cap="none" spc="0">
              <a:ln w="12700">
                <a:solidFill>
                  <a:schemeClr val="accent3">
                    <a:lumMod val="50000"/>
                  </a:schemeClr>
                </a:solidFill>
                <a:prstDash val="solid"/>
              </a:ln>
              <a:solidFill>
                <a:schemeClr val="bg1"/>
              </a:solidFill>
              <a:effectLst>
                <a:innerShdw blurRad="177800">
                  <a:schemeClr val="accent3">
                    <a:lumMod val="50000"/>
                  </a:schemeClr>
                </a:innerShdw>
              </a:effectLst>
            </a:rPr>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ynthia" refreshedDate="45983.902994097225" createdVersion="8" refreshedVersion="8" minRefreshableVersion="3" recordCount="200" xr:uid="{4580F25E-4120-490C-9370-B4CAEF6EFAD0}">
  <cacheSource type="worksheet">
    <worksheetSource name="Table1"/>
  </cacheSource>
  <cacheFields count="13">
    <cacheField name="Patron_ID" numFmtId="0">
      <sharedItems count="2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haredItems>
    </cacheField>
    <cacheField name="Age" numFmtId="0">
      <sharedItems containsSemiMixedTypes="0" containsString="0" containsNumber="1" containsInteger="1" minValue="12" maxValue="75" count="61">
        <n v="59"/>
        <n v="32"/>
        <n v="15"/>
        <n v="35"/>
        <n v="49"/>
        <n v="44"/>
        <n v="68"/>
        <n v="43"/>
        <n v="65"/>
        <n v="46"/>
        <n v="19"/>
        <n v="34"/>
        <n v="69"/>
        <n v="53"/>
        <n v="48"/>
        <n v="29"/>
        <n v="64"/>
        <n v="27"/>
        <n v="42"/>
        <n v="61"/>
        <n v="62"/>
        <n v="37"/>
        <n v="38"/>
        <n v="18"/>
        <n v="25"/>
        <n v="40"/>
        <n v="30"/>
        <n v="39"/>
        <n v="31"/>
        <n v="74"/>
        <n v="13"/>
        <n v="33"/>
        <n v="71"/>
        <n v="12"/>
        <n v="58"/>
        <n v="21"/>
        <n v="70"/>
        <n v="54"/>
        <n v="36"/>
        <n v="23"/>
        <n v="75"/>
        <n v="50"/>
        <n v="63"/>
        <n v="51"/>
        <n v="26"/>
        <n v="16"/>
        <n v="45"/>
        <n v="17"/>
        <n v="22"/>
        <n v="55"/>
        <n v="52"/>
        <n v="24"/>
        <n v="67"/>
        <n v="56"/>
        <n v="47"/>
        <n v="20"/>
        <n v="73"/>
        <n v="57"/>
        <n v="60"/>
        <n v="41"/>
        <n v="72"/>
      </sharedItems>
    </cacheField>
    <cacheField name="Gender" numFmtId="0">
      <sharedItems count="2">
        <s v="Male"/>
        <s v="Female"/>
      </sharedItems>
    </cacheField>
    <cacheField name="City" numFmtId="0">
      <sharedItems count="6">
        <s v="Port Harcourt"/>
        <s v="Ibadan"/>
        <s v="Kano"/>
        <s v="Abuja"/>
        <s v="Lagos"/>
        <s v="Enugu"/>
      </sharedItems>
    </cacheField>
    <cacheField name="Membership_Type" numFmtId="0">
      <sharedItems count="4">
        <s v="Student"/>
        <s v="Senior"/>
        <s v="Adult"/>
        <s v="Researcher"/>
      </sharedItems>
    </cacheField>
    <cacheField name="Membership Start Date" numFmtId="0">
      <sharedItems count="75">
        <s v="Fri 11"/>
        <s v="Thu 05"/>
        <s v="Mon 10"/>
        <s v="Fri 02"/>
        <s v="Sun 05"/>
        <s v="Sun 11"/>
        <s v="Sat 02"/>
        <s v="Thu 07"/>
        <s v="Tue 08"/>
        <s v="Sun 10"/>
        <s v="Fri 03"/>
        <s v="Sat 08"/>
        <s v="Sat 01"/>
        <s v="Mon 08"/>
        <s v="Mon 11"/>
        <s v="Fri 04"/>
        <s v="Mon 05"/>
        <s v="Mon 03"/>
        <s v="Wed 03"/>
        <s v="Wed 07"/>
        <s v="Mon 02"/>
        <s v="Fri 01"/>
        <s v="Tue 09"/>
        <s v="Fri 05"/>
        <s v="Tue 07"/>
        <s v="Wed 01"/>
        <s v="Mon 12"/>
        <s v="Sun 06"/>
        <s v="Thu 11"/>
        <s v="Sat 03"/>
        <s v="Sun 04"/>
        <s v="Thu 08"/>
        <s v="Fri 09"/>
        <s v="Sun 01"/>
        <s v="Tue 04"/>
        <s v="Thu 10"/>
        <s v="Thu 04"/>
        <s v="Tue 10"/>
        <s v="Thu 06"/>
        <s v="Wed 10"/>
        <s v="Mon 09"/>
        <s v="Wed 12"/>
        <s v="Wed 08"/>
        <s v="Tue 01"/>
        <s v="Mon 04"/>
        <s v="Wed 09"/>
        <s v="Mon 07"/>
        <s v="Sat 07"/>
        <s v="Thu 09"/>
        <s v="Sat 12"/>
        <s v="Sun 03"/>
        <s v="Tue 02"/>
        <s v="Sun 07"/>
        <s v="Thu 03"/>
        <s v="Mon 01"/>
        <s v="Tue 12"/>
        <s v="Sun 12"/>
        <s v="Fri 08"/>
        <s v="Mon 06"/>
        <s v="Wed 11"/>
        <s v="Sat 10"/>
        <s v="Tue 11"/>
        <s v="Sun 08"/>
        <s v="Fri 07"/>
        <s v="Sat 05"/>
        <s v="Wed 02"/>
        <s v="Thu 02"/>
        <s v="Wed 06"/>
        <s v="Thu 01"/>
        <s v="Sun 09"/>
        <s v="Tue 06"/>
        <s v="Sat 11"/>
        <s v="Sat 06"/>
        <s v="Fri 10"/>
        <s v="Fri 12"/>
      </sharedItems>
    </cacheField>
    <cacheField name="Membership_Start_Date2" numFmtId="0">
      <sharedItems count="189">
        <s v="2023-11-10"/>
        <s v="2023-05-11"/>
        <s v="2022-10-03"/>
        <s v="2022-02-25"/>
        <s v="2020-05-10"/>
        <s v="2020-11-08"/>
        <s v="2022-02-12"/>
        <s v="2022-07-07"/>
        <s v="2021-08-03"/>
        <s v="2023-10-22"/>
        <s v="2023-03-24"/>
        <s v="2023-08-26"/>
        <s v="2024-01-20"/>
        <s v="2022-08-08"/>
        <s v="2023-11-27"/>
        <s v="2023-05-21"/>
        <s v="2023-04-14"/>
        <s v="2022-05-16"/>
        <s v="2020-03-09"/>
        <s v="2021-03-31"/>
        <s v="2021-11-05"/>
        <s v="2023-07-05"/>
        <s v="2023-02-06"/>
        <s v="2024-01-19"/>
        <s v="2023-09-05"/>
        <s v="2021-05-14"/>
        <s v="2021-08-31"/>
        <s v="2020-07-21"/>
        <s v="2020-01-22"/>
        <s v="2021-01-27"/>
        <s v="2023-12-04"/>
        <s v="2020-03-23"/>
        <s v="2022-06-05"/>
        <s v="2023-02-18"/>
        <s v="2023-11-09"/>
        <s v="2021-03-20"/>
        <s v="2021-04-04"/>
        <s v="2022-11-11"/>
        <s v="2022-08-18"/>
        <s v="2022-04-15"/>
        <s v="2022-09-23"/>
        <s v="2023-01-07"/>
        <s v="2021-01-17"/>
        <s v="2020-05-28"/>
        <s v="2021-02-08"/>
        <s v="2023-08-15"/>
        <s v="2022-11-24"/>
        <s v="2023-06-25"/>
        <s v="2020-04-28"/>
        <s v="2023-10-19"/>
        <s v="2021-04-08"/>
        <s v="2022-03-30"/>
        <s v="2023-10-24"/>
        <s v="2020-06-04"/>
        <s v="2021-05-27"/>
        <s v="2021-11-11"/>
        <s v="2023-10-25"/>
        <s v="2023-03-01"/>
        <s v="2020-09-28"/>
        <s v="2021-12-01"/>
        <s v="2022-08-24"/>
        <s v="2022-01-22"/>
        <s v="2021-01-26"/>
        <s v="2022-04-04"/>
        <s v="2023-07-26"/>
        <s v="2023-09-06"/>
        <s v="2022-07-18"/>
        <s v="2023-07-24"/>
        <s v="2023-07-01"/>
        <s v="2022-09-22"/>
        <s v="2023-08-21"/>
        <s v="2022-10-11"/>
        <s v="2023-10-11"/>
        <s v="2023-12-09"/>
        <s v="2021-03-07"/>
        <s v="2021-07-19"/>
        <s v="2021-02-02"/>
        <s v="2021-09-17"/>
        <s v="2022-10-24"/>
        <s v="2021-11-18"/>
        <s v="2021-09-06"/>
        <s v="2022-01-08"/>
        <s v="2022-07-24"/>
        <s v="2023-03-09"/>
        <s v="2022-07-04"/>
        <s v="2021-08-17"/>
        <s v="2022-01-24"/>
        <s v="2023-10-31"/>
        <s v="2020-12-01"/>
        <s v="2023-12-31"/>
        <s v="2020-08-07"/>
        <s v="2021-09-02"/>
        <s v="2023-12-25"/>
        <s v="2022-06-20"/>
        <s v="2021-10-25"/>
        <s v="2020-09-14"/>
        <s v="2022-03-09"/>
        <s v="2022-10-05"/>
        <s v="2023-07-19"/>
        <s v="2022-03-03"/>
        <s v="2020-04-14"/>
        <s v="2021-11-17"/>
        <s v="2022-04-28"/>
        <s v="2023-08-10"/>
        <s v="2021-10-16"/>
        <s v="2021-11-16"/>
        <s v="2020-01-17"/>
        <s v="2020-09-15"/>
        <s v="2021-11-08"/>
        <s v="2022-01-04"/>
        <s v="2023-03-02"/>
        <s v="2023-05-12"/>
        <s v="2023-11-03"/>
        <s v="2023-08-06"/>
        <s v="2020-07-24"/>
        <s v="2020-12-26"/>
        <s v="2022-03-31"/>
        <s v="2021-04-22"/>
        <s v="2020-10-11"/>
        <s v="2020-07-26"/>
        <s v="2023-01-29"/>
        <s v="2022-01-01"/>
        <s v="2023-09-12"/>
        <s v="2022-05-14"/>
        <s v="2020-07-31"/>
        <s v="2020-03-27"/>
        <s v="2023-01-27"/>
        <s v="2022-09-15"/>
        <s v="2020-05-11"/>
        <s v="2022-02-02"/>
        <s v="2022-09-13"/>
        <s v="2021-10-07"/>
        <s v="2023-02-16"/>
        <s v="2022-05-22"/>
        <s v="2022-12-05"/>
        <s v="2020-02-07"/>
        <s v="2023-07-04"/>
        <s v="2023-02-15"/>
        <s v="2020-07-14"/>
        <s v="2022-08-29"/>
        <s v="2022-03-04"/>
        <s v="2022-05-15"/>
        <s v="2022-07-05"/>
        <s v="2022-11-28"/>
        <s v="2023-06-07"/>
        <s v="2023-10-04"/>
        <s v="2022-07-12"/>
        <s v="2020-11-18"/>
        <s v="2024-01-27"/>
        <s v="2022-03-16"/>
        <s v="2022-11-02"/>
        <s v="2023-02-04"/>
        <s v="2021-10-18"/>
        <s v="2024-01-25"/>
        <s v="2022-02-15"/>
        <s v="2020-05-23"/>
        <s v="2021-10-02"/>
        <s v="2023-11-21"/>
        <s v="2021-12-04"/>
        <s v="2020-08-25"/>
        <s v="2022-03-20"/>
        <s v="2020-09-25"/>
        <s v="2021-11-24"/>
        <s v="2020-02-06"/>
        <s v="2023-12-02"/>
        <s v="2020-01-04"/>
        <s v="2022-06-13"/>
        <s v="2023-07-27"/>
        <s v="2021-02-11"/>
        <s v="2022-01-19"/>
        <s v="2023-09-24"/>
        <s v="2022-06-28"/>
        <s v="2023-03-29"/>
        <s v="2022-03-10"/>
        <s v="2020-12-14"/>
        <s v="2020-11-28"/>
        <s v="2023-06-24"/>
        <s v="2021-10-22"/>
        <s v="2023-06-06"/>
        <s v="2023-11-28"/>
        <s v="2020-04-16"/>
        <s v="2021-06-29"/>
        <s v="2021-07-24"/>
        <s v="2021-12-24"/>
        <s v="2022-08-05"/>
        <s v="2023-07-06"/>
        <s v="2020-08-26"/>
        <s v="2022-05-13"/>
        <s v="2021-08-09"/>
      </sharedItems>
    </cacheField>
    <cacheField name="Satisfaction_Score" numFmtId="0">
      <sharedItems containsSemiMixedTypes="0" containsString="0" containsNumber="1" containsInteger="1" minValue="1" maxValue="10" count="10">
        <n v="5"/>
        <n v="4"/>
        <n v="3"/>
        <n v="6"/>
        <n v="7"/>
        <n v="1"/>
        <n v="2"/>
        <n v="8"/>
        <n v="10"/>
        <n v="9"/>
      </sharedItems>
    </cacheField>
    <cacheField name="Books_Borrowed" numFmtId="0">
      <sharedItems containsSemiMixedTypes="0" containsString="0" containsNumber="1" containsInteger="1" minValue="0" maxValue="40" count="41">
        <n v="39"/>
        <n v="15"/>
        <n v="30"/>
        <n v="21"/>
        <n v="18"/>
        <n v="19"/>
        <n v="14"/>
        <n v="3"/>
        <n v="28"/>
        <n v="12"/>
        <n v="23"/>
        <n v="9"/>
        <n v="8"/>
        <n v="24"/>
        <n v="10"/>
        <n v="25"/>
        <n v="5"/>
        <n v="1"/>
        <n v="27"/>
        <n v="22"/>
        <n v="40"/>
        <n v="36"/>
        <n v="13"/>
        <n v="32"/>
        <n v="26"/>
        <n v="34"/>
        <n v="7"/>
        <n v="6"/>
        <n v="33"/>
        <n v="0"/>
        <n v="2"/>
        <n v="38"/>
        <n v="4"/>
        <n v="29"/>
        <n v="35"/>
        <n v="20"/>
        <n v="31"/>
        <n v="37"/>
        <n v="11"/>
        <n v="16"/>
        <n v="17"/>
      </sharedItems>
    </cacheField>
    <cacheField name="Avg_Borrow_Days" numFmtId="0">
      <sharedItems containsSemiMixedTypes="0" containsString="0" containsNumber="1" containsInteger="1" minValue="1" maxValue="30"/>
    </cacheField>
    <cacheField name="Fines_Paid_NGN" numFmtId="164">
      <sharedItems containsSemiMixedTypes="0" containsString="0" containsNumber="1" containsInteger="1" minValue="0" maxValue="4983"/>
    </cacheField>
    <cacheField name="Event_Attendance" numFmtId="0">
      <sharedItems containsSemiMixedTypes="0" containsString="0" containsNumber="1" containsInteger="1" minValue="0" maxValue="15"/>
    </cacheField>
    <cacheField name="Digital_Usage_Hours" numFmtId="1">
      <sharedItems containsSemiMixedTypes="0" containsString="0" containsNumber="1" minValue="0" maxValue="50"/>
    </cacheField>
  </cacheFields>
  <extLst>
    <ext xmlns:x14="http://schemas.microsoft.com/office/spreadsheetml/2009/9/main" uri="{725AE2AE-9491-48be-B2B4-4EB974FC3084}">
      <x14:pivotCacheDefinition pivotCacheId="1130659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x v="0"/>
    <x v="0"/>
    <x v="0"/>
    <n v="11"/>
    <n v="4948"/>
    <n v="6"/>
    <n v="36.9"/>
  </r>
  <r>
    <x v="1"/>
    <x v="1"/>
    <x v="1"/>
    <x v="1"/>
    <x v="0"/>
    <x v="1"/>
    <x v="1"/>
    <x v="1"/>
    <x v="1"/>
    <n v="28"/>
    <n v="0"/>
    <n v="13"/>
    <n v="1.3"/>
  </r>
  <r>
    <x v="2"/>
    <x v="2"/>
    <x v="0"/>
    <x v="2"/>
    <x v="1"/>
    <x v="2"/>
    <x v="2"/>
    <x v="2"/>
    <x v="2"/>
    <n v="26"/>
    <n v="0"/>
    <n v="14"/>
    <n v="21.8"/>
  </r>
  <r>
    <x v="3"/>
    <x v="3"/>
    <x v="1"/>
    <x v="0"/>
    <x v="2"/>
    <x v="3"/>
    <x v="3"/>
    <x v="3"/>
    <x v="3"/>
    <n v="25"/>
    <n v="0"/>
    <n v="7"/>
    <n v="28.4"/>
  </r>
  <r>
    <x v="4"/>
    <x v="4"/>
    <x v="1"/>
    <x v="0"/>
    <x v="1"/>
    <x v="4"/>
    <x v="4"/>
    <x v="0"/>
    <x v="4"/>
    <n v="17"/>
    <n v="1514"/>
    <n v="6"/>
    <n v="32"/>
  </r>
  <r>
    <x v="5"/>
    <x v="5"/>
    <x v="1"/>
    <x v="3"/>
    <x v="0"/>
    <x v="5"/>
    <x v="5"/>
    <x v="4"/>
    <x v="5"/>
    <n v="27"/>
    <n v="4836"/>
    <n v="8"/>
    <n v="24"/>
  </r>
  <r>
    <x v="6"/>
    <x v="6"/>
    <x v="0"/>
    <x v="3"/>
    <x v="3"/>
    <x v="6"/>
    <x v="6"/>
    <x v="5"/>
    <x v="6"/>
    <n v="15"/>
    <n v="1236"/>
    <n v="10"/>
    <n v="48.3"/>
  </r>
  <r>
    <x v="7"/>
    <x v="7"/>
    <x v="0"/>
    <x v="2"/>
    <x v="2"/>
    <x v="7"/>
    <x v="7"/>
    <x v="2"/>
    <x v="7"/>
    <n v="12"/>
    <n v="2828"/>
    <n v="14"/>
    <n v="17.399999999999999"/>
  </r>
  <r>
    <x v="8"/>
    <x v="8"/>
    <x v="0"/>
    <x v="4"/>
    <x v="1"/>
    <x v="8"/>
    <x v="8"/>
    <x v="1"/>
    <x v="5"/>
    <n v="14"/>
    <n v="4306"/>
    <n v="9"/>
    <n v="43.5"/>
  </r>
  <r>
    <x v="9"/>
    <x v="9"/>
    <x v="1"/>
    <x v="5"/>
    <x v="2"/>
    <x v="9"/>
    <x v="9"/>
    <x v="3"/>
    <x v="7"/>
    <n v="8"/>
    <n v="4623"/>
    <n v="6"/>
    <n v="45.5"/>
  </r>
  <r>
    <x v="10"/>
    <x v="10"/>
    <x v="1"/>
    <x v="4"/>
    <x v="1"/>
    <x v="10"/>
    <x v="10"/>
    <x v="6"/>
    <x v="8"/>
    <n v="18"/>
    <n v="0"/>
    <n v="0"/>
    <n v="44.4"/>
  </r>
  <r>
    <x v="11"/>
    <x v="11"/>
    <x v="0"/>
    <x v="0"/>
    <x v="3"/>
    <x v="11"/>
    <x v="11"/>
    <x v="7"/>
    <x v="9"/>
    <n v="13"/>
    <n v="0"/>
    <n v="0"/>
    <n v="26.1"/>
  </r>
  <r>
    <x v="12"/>
    <x v="12"/>
    <x v="0"/>
    <x v="5"/>
    <x v="2"/>
    <x v="12"/>
    <x v="12"/>
    <x v="1"/>
    <x v="10"/>
    <n v="14"/>
    <n v="2111"/>
    <n v="3"/>
    <n v="5.7"/>
  </r>
  <r>
    <x v="13"/>
    <x v="11"/>
    <x v="0"/>
    <x v="1"/>
    <x v="2"/>
    <x v="13"/>
    <x v="13"/>
    <x v="3"/>
    <x v="11"/>
    <n v="5"/>
    <n v="0"/>
    <n v="11"/>
    <n v="31.4"/>
  </r>
  <r>
    <x v="14"/>
    <x v="13"/>
    <x v="1"/>
    <x v="4"/>
    <x v="0"/>
    <x v="14"/>
    <x v="14"/>
    <x v="8"/>
    <x v="7"/>
    <n v="13"/>
    <n v="0"/>
    <n v="10"/>
    <n v="33.1"/>
  </r>
  <r>
    <x v="15"/>
    <x v="14"/>
    <x v="1"/>
    <x v="3"/>
    <x v="0"/>
    <x v="4"/>
    <x v="15"/>
    <x v="0"/>
    <x v="12"/>
    <n v="4"/>
    <n v="2877"/>
    <n v="6"/>
    <n v="8.1999999999999993"/>
  </r>
  <r>
    <x v="16"/>
    <x v="15"/>
    <x v="0"/>
    <x v="0"/>
    <x v="3"/>
    <x v="15"/>
    <x v="16"/>
    <x v="4"/>
    <x v="12"/>
    <n v="6"/>
    <n v="0"/>
    <n v="6"/>
    <n v="31.3"/>
  </r>
  <r>
    <x v="17"/>
    <x v="16"/>
    <x v="0"/>
    <x v="3"/>
    <x v="2"/>
    <x v="16"/>
    <x v="17"/>
    <x v="7"/>
    <x v="13"/>
    <n v="11"/>
    <n v="0"/>
    <n v="6"/>
    <n v="29.3"/>
  </r>
  <r>
    <x v="18"/>
    <x v="17"/>
    <x v="1"/>
    <x v="3"/>
    <x v="1"/>
    <x v="17"/>
    <x v="18"/>
    <x v="1"/>
    <x v="0"/>
    <n v="4"/>
    <n v="0"/>
    <n v="14"/>
    <n v="45.7"/>
  </r>
  <r>
    <x v="19"/>
    <x v="18"/>
    <x v="0"/>
    <x v="1"/>
    <x v="3"/>
    <x v="18"/>
    <x v="19"/>
    <x v="8"/>
    <x v="14"/>
    <n v="5"/>
    <n v="187"/>
    <n v="1"/>
    <n v="41.8"/>
  </r>
  <r>
    <x v="20"/>
    <x v="16"/>
    <x v="1"/>
    <x v="2"/>
    <x v="1"/>
    <x v="0"/>
    <x v="20"/>
    <x v="6"/>
    <x v="15"/>
    <n v="19"/>
    <n v="0"/>
    <n v="2"/>
    <n v="9.3000000000000007"/>
  </r>
  <r>
    <x v="21"/>
    <x v="19"/>
    <x v="1"/>
    <x v="3"/>
    <x v="3"/>
    <x v="19"/>
    <x v="21"/>
    <x v="4"/>
    <x v="11"/>
    <n v="23"/>
    <n v="2519"/>
    <n v="15"/>
    <n v="45.8"/>
  </r>
  <r>
    <x v="22"/>
    <x v="17"/>
    <x v="0"/>
    <x v="4"/>
    <x v="1"/>
    <x v="20"/>
    <x v="22"/>
    <x v="4"/>
    <x v="0"/>
    <n v="19"/>
    <n v="0"/>
    <n v="10"/>
    <n v="8.3000000000000007"/>
  </r>
  <r>
    <x v="23"/>
    <x v="20"/>
    <x v="0"/>
    <x v="1"/>
    <x v="1"/>
    <x v="21"/>
    <x v="23"/>
    <x v="3"/>
    <x v="16"/>
    <n v="6"/>
    <n v="3967"/>
    <n v="5"/>
    <n v="27.5"/>
  </r>
  <r>
    <x v="24"/>
    <x v="21"/>
    <x v="1"/>
    <x v="3"/>
    <x v="2"/>
    <x v="22"/>
    <x v="24"/>
    <x v="9"/>
    <x v="15"/>
    <n v="7"/>
    <n v="0"/>
    <n v="4"/>
    <n v="42.9"/>
  </r>
  <r>
    <x v="25"/>
    <x v="22"/>
    <x v="1"/>
    <x v="1"/>
    <x v="3"/>
    <x v="23"/>
    <x v="25"/>
    <x v="5"/>
    <x v="12"/>
    <n v="30"/>
    <n v="4564"/>
    <n v="11"/>
    <n v="36.9"/>
  </r>
  <r>
    <x v="26"/>
    <x v="6"/>
    <x v="0"/>
    <x v="5"/>
    <x v="3"/>
    <x v="8"/>
    <x v="26"/>
    <x v="2"/>
    <x v="17"/>
    <n v="14"/>
    <n v="3468"/>
    <n v="1"/>
    <n v="50"/>
  </r>
  <r>
    <x v="27"/>
    <x v="23"/>
    <x v="1"/>
    <x v="5"/>
    <x v="3"/>
    <x v="24"/>
    <x v="27"/>
    <x v="0"/>
    <x v="18"/>
    <n v="7"/>
    <n v="0"/>
    <n v="4"/>
    <n v="37.1"/>
  </r>
  <r>
    <x v="28"/>
    <x v="24"/>
    <x v="1"/>
    <x v="2"/>
    <x v="3"/>
    <x v="25"/>
    <x v="28"/>
    <x v="2"/>
    <x v="13"/>
    <n v="26"/>
    <n v="3288"/>
    <n v="15"/>
    <n v="45.3"/>
  </r>
  <r>
    <x v="29"/>
    <x v="25"/>
    <x v="0"/>
    <x v="2"/>
    <x v="1"/>
    <x v="6"/>
    <x v="6"/>
    <x v="2"/>
    <x v="1"/>
    <n v="28"/>
    <n v="2210"/>
    <n v="14"/>
    <n v="37.9"/>
  </r>
  <r>
    <x v="30"/>
    <x v="26"/>
    <x v="0"/>
    <x v="0"/>
    <x v="3"/>
    <x v="25"/>
    <x v="29"/>
    <x v="7"/>
    <x v="19"/>
    <n v="3"/>
    <n v="3080"/>
    <n v="14"/>
    <n v="47"/>
  </r>
  <r>
    <x v="31"/>
    <x v="27"/>
    <x v="0"/>
    <x v="2"/>
    <x v="3"/>
    <x v="26"/>
    <x v="30"/>
    <x v="6"/>
    <x v="20"/>
    <n v="25"/>
    <n v="4332"/>
    <n v="9"/>
    <n v="48.4"/>
  </r>
  <r>
    <x v="32"/>
    <x v="28"/>
    <x v="0"/>
    <x v="2"/>
    <x v="2"/>
    <x v="17"/>
    <x v="31"/>
    <x v="6"/>
    <x v="2"/>
    <n v="3"/>
    <n v="0"/>
    <n v="3"/>
    <n v="16.2"/>
  </r>
  <r>
    <x v="33"/>
    <x v="29"/>
    <x v="0"/>
    <x v="2"/>
    <x v="1"/>
    <x v="27"/>
    <x v="32"/>
    <x v="8"/>
    <x v="21"/>
    <n v="18"/>
    <n v="0"/>
    <n v="0"/>
    <n v="48.9"/>
  </r>
  <r>
    <x v="34"/>
    <x v="6"/>
    <x v="1"/>
    <x v="3"/>
    <x v="1"/>
    <x v="6"/>
    <x v="33"/>
    <x v="9"/>
    <x v="12"/>
    <n v="10"/>
    <n v="0"/>
    <n v="6"/>
    <n v="21.9"/>
  </r>
  <r>
    <x v="35"/>
    <x v="30"/>
    <x v="0"/>
    <x v="0"/>
    <x v="2"/>
    <x v="28"/>
    <x v="34"/>
    <x v="1"/>
    <x v="22"/>
    <n v="15"/>
    <n v="1677"/>
    <n v="10"/>
    <n v="4.8"/>
  </r>
  <r>
    <x v="36"/>
    <x v="31"/>
    <x v="1"/>
    <x v="3"/>
    <x v="1"/>
    <x v="29"/>
    <x v="35"/>
    <x v="6"/>
    <x v="14"/>
    <n v="28"/>
    <n v="0"/>
    <n v="14"/>
    <n v="25"/>
  </r>
  <r>
    <x v="37"/>
    <x v="32"/>
    <x v="1"/>
    <x v="4"/>
    <x v="2"/>
    <x v="30"/>
    <x v="36"/>
    <x v="6"/>
    <x v="19"/>
    <n v="10"/>
    <n v="1956"/>
    <n v="12"/>
    <n v="4.2"/>
  </r>
  <r>
    <x v="38"/>
    <x v="16"/>
    <x v="0"/>
    <x v="4"/>
    <x v="1"/>
    <x v="0"/>
    <x v="37"/>
    <x v="4"/>
    <x v="23"/>
    <n v="12"/>
    <n v="3152"/>
    <n v="2"/>
    <n v="6.4"/>
  </r>
  <r>
    <x v="39"/>
    <x v="26"/>
    <x v="1"/>
    <x v="4"/>
    <x v="0"/>
    <x v="31"/>
    <x v="38"/>
    <x v="1"/>
    <x v="7"/>
    <n v="19"/>
    <n v="0"/>
    <n v="8"/>
    <n v="23.1"/>
  </r>
  <r>
    <x v="40"/>
    <x v="33"/>
    <x v="1"/>
    <x v="5"/>
    <x v="2"/>
    <x v="15"/>
    <x v="39"/>
    <x v="0"/>
    <x v="0"/>
    <n v="23"/>
    <n v="0"/>
    <n v="7"/>
    <n v="2"/>
  </r>
  <r>
    <x v="41"/>
    <x v="34"/>
    <x v="1"/>
    <x v="2"/>
    <x v="2"/>
    <x v="32"/>
    <x v="40"/>
    <x v="6"/>
    <x v="20"/>
    <n v="5"/>
    <n v="0"/>
    <n v="13"/>
    <n v="38.6"/>
  </r>
  <r>
    <x v="42"/>
    <x v="21"/>
    <x v="0"/>
    <x v="1"/>
    <x v="1"/>
    <x v="12"/>
    <x v="41"/>
    <x v="0"/>
    <x v="23"/>
    <n v="20"/>
    <n v="4983"/>
    <n v="9"/>
    <n v="47.4"/>
  </r>
  <r>
    <x v="43"/>
    <x v="10"/>
    <x v="0"/>
    <x v="0"/>
    <x v="3"/>
    <x v="33"/>
    <x v="42"/>
    <x v="5"/>
    <x v="8"/>
    <n v="16"/>
    <n v="3804"/>
    <n v="0"/>
    <n v="10.9"/>
  </r>
  <r>
    <x v="44"/>
    <x v="22"/>
    <x v="0"/>
    <x v="0"/>
    <x v="3"/>
    <x v="1"/>
    <x v="43"/>
    <x v="6"/>
    <x v="24"/>
    <n v="17"/>
    <n v="0"/>
    <n v="2"/>
    <n v="12.6"/>
  </r>
  <r>
    <x v="45"/>
    <x v="20"/>
    <x v="0"/>
    <x v="0"/>
    <x v="0"/>
    <x v="20"/>
    <x v="44"/>
    <x v="2"/>
    <x v="14"/>
    <n v="27"/>
    <n v="1924"/>
    <n v="8"/>
    <n v="47.7"/>
  </r>
  <r>
    <x v="46"/>
    <x v="35"/>
    <x v="0"/>
    <x v="3"/>
    <x v="3"/>
    <x v="8"/>
    <x v="45"/>
    <x v="1"/>
    <x v="18"/>
    <n v="4"/>
    <n v="0"/>
    <n v="13"/>
    <n v="10.7"/>
  </r>
  <r>
    <x v="47"/>
    <x v="36"/>
    <x v="0"/>
    <x v="2"/>
    <x v="3"/>
    <x v="28"/>
    <x v="46"/>
    <x v="4"/>
    <x v="23"/>
    <n v="23"/>
    <n v="0"/>
    <n v="0"/>
    <n v="11.1"/>
  </r>
  <r>
    <x v="48"/>
    <x v="20"/>
    <x v="0"/>
    <x v="0"/>
    <x v="3"/>
    <x v="27"/>
    <x v="47"/>
    <x v="1"/>
    <x v="12"/>
    <n v="9"/>
    <n v="3141"/>
    <n v="3"/>
    <n v="25.1"/>
  </r>
  <r>
    <x v="49"/>
    <x v="37"/>
    <x v="1"/>
    <x v="0"/>
    <x v="2"/>
    <x v="34"/>
    <x v="48"/>
    <x v="8"/>
    <x v="22"/>
    <n v="22"/>
    <n v="0"/>
    <n v="6"/>
    <n v="36.6"/>
  </r>
  <r>
    <x v="50"/>
    <x v="23"/>
    <x v="0"/>
    <x v="0"/>
    <x v="3"/>
    <x v="35"/>
    <x v="49"/>
    <x v="0"/>
    <x v="20"/>
    <n v="25"/>
    <n v="0"/>
    <n v="12"/>
    <n v="33.700000000000003"/>
  </r>
  <r>
    <x v="51"/>
    <x v="38"/>
    <x v="1"/>
    <x v="0"/>
    <x v="2"/>
    <x v="36"/>
    <x v="50"/>
    <x v="1"/>
    <x v="25"/>
    <n v="27"/>
    <n v="384"/>
    <n v="7"/>
    <n v="49"/>
  </r>
  <r>
    <x v="52"/>
    <x v="32"/>
    <x v="0"/>
    <x v="2"/>
    <x v="1"/>
    <x v="18"/>
    <x v="51"/>
    <x v="3"/>
    <x v="15"/>
    <n v="1"/>
    <n v="4295"/>
    <n v="9"/>
    <n v="22.6"/>
  </r>
  <r>
    <x v="53"/>
    <x v="38"/>
    <x v="0"/>
    <x v="1"/>
    <x v="3"/>
    <x v="37"/>
    <x v="52"/>
    <x v="0"/>
    <x v="26"/>
    <n v="10"/>
    <n v="164"/>
    <n v="13"/>
    <n v="37.299999999999997"/>
  </r>
  <r>
    <x v="54"/>
    <x v="39"/>
    <x v="1"/>
    <x v="5"/>
    <x v="0"/>
    <x v="38"/>
    <x v="53"/>
    <x v="3"/>
    <x v="19"/>
    <n v="18"/>
    <n v="0"/>
    <n v="1"/>
    <n v="32.799999999999997"/>
  </r>
  <r>
    <x v="55"/>
    <x v="25"/>
    <x v="0"/>
    <x v="0"/>
    <x v="1"/>
    <x v="1"/>
    <x v="54"/>
    <x v="8"/>
    <x v="27"/>
    <n v="7"/>
    <n v="0"/>
    <n v="6"/>
    <n v="49.5"/>
  </r>
  <r>
    <x v="56"/>
    <x v="40"/>
    <x v="0"/>
    <x v="4"/>
    <x v="0"/>
    <x v="28"/>
    <x v="55"/>
    <x v="7"/>
    <x v="28"/>
    <n v="10"/>
    <n v="3575"/>
    <n v="13"/>
    <n v="41.6"/>
  </r>
  <r>
    <x v="57"/>
    <x v="20"/>
    <x v="0"/>
    <x v="3"/>
    <x v="1"/>
    <x v="39"/>
    <x v="56"/>
    <x v="9"/>
    <x v="0"/>
    <n v="22"/>
    <n v="2020"/>
    <n v="12"/>
    <n v="46.6"/>
  </r>
  <r>
    <x v="58"/>
    <x v="27"/>
    <x v="1"/>
    <x v="0"/>
    <x v="1"/>
    <x v="18"/>
    <x v="57"/>
    <x v="6"/>
    <x v="29"/>
    <n v="21"/>
    <n v="0"/>
    <n v="15"/>
    <n v="4.7"/>
  </r>
  <r>
    <x v="59"/>
    <x v="4"/>
    <x v="1"/>
    <x v="5"/>
    <x v="0"/>
    <x v="40"/>
    <x v="58"/>
    <x v="2"/>
    <x v="8"/>
    <n v="11"/>
    <n v="0"/>
    <n v="10"/>
    <n v="14.6"/>
  </r>
  <r>
    <x v="60"/>
    <x v="41"/>
    <x v="0"/>
    <x v="2"/>
    <x v="2"/>
    <x v="41"/>
    <x v="59"/>
    <x v="9"/>
    <x v="17"/>
    <n v="6"/>
    <n v="4624"/>
    <n v="15"/>
    <n v="1.4"/>
  </r>
  <r>
    <x v="61"/>
    <x v="41"/>
    <x v="1"/>
    <x v="5"/>
    <x v="2"/>
    <x v="42"/>
    <x v="60"/>
    <x v="5"/>
    <x v="0"/>
    <n v="14"/>
    <n v="4500"/>
    <n v="0"/>
    <n v="29.5"/>
  </r>
  <r>
    <x v="62"/>
    <x v="11"/>
    <x v="1"/>
    <x v="2"/>
    <x v="2"/>
    <x v="12"/>
    <x v="61"/>
    <x v="5"/>
    <x v="30"/>
    <n v="27"/>
    <n v="4734"/>
    <n v="9"/>
    <n v="12.4"/>
  </r>
  <r>
    <x v="63"/>
    <x v="37"/>
    <x v="1"/>
    <x v="1"/>
    <x v="0"/>
    <x v="43"/>
    <x v="62"/>
    <x v="7"/>
    <x v="3"/>
    <n v="13"/>
    <n v="3331"/>
    <n v="11"/>
    <n v="32.9"/>
  </r>
  <r>
    <x v="64"/>
    <x v="12"/>
    <x v="0"/>
    <x v="1"/>
    <x v="1"/>
    <x v="44"/>
    <x v="63"/>
    <x v="4"/>
    <x v="31"/>
    <n v="25"/>
    <n v="3554"/>
    <n v="0"/>
    <n v="37.299999999999997"/>
  </r>
  <r>
    <x v="65"/>
    <x v="10"/>
    <x v="1"/>
    <x v="5"/>
    <x v="1"/>
    <x v="19"/>
    <x v="64"/>
    <x v="3"/>
    <x v="7"/>
    <n v="16"/>
    <n v="0"/>
    <n v="5"/>
    <n v="1.2"/>
  </r>
  <r>
    <x v="66"/>
    <x v="42"/>
    <x v="0"/>
    <x v="3"/>
    <x v="2"/>
    <x v="43"/>
    <x v="62"/>
    <x v="1"/>
    <x v="5"/>
    <n v="6"/>
    <n v="1475"/>
    <n v="6"/>
    <n v="42.9"/>
  </r>
  <r>
    <x v="67"/>
    <x v="43"/>
    <x v="1"/>
    <x v="0"/>
    <x v="2"/>
    <x v="45"/>
    <x v="65"/>
    <x v="9"/>
    <x v="10"/>
    <n v="30"/>
    <n v="2668"/>
    <n v="9"/>
    <n v="41.6"/>
  </r>
  <r>
    <x v="68"/>
    <x v="44"/>
    <x v="1"/>
    <x v="4"/>
    <x v="2"/>
    <x v="46"/>
    <x v="66"/>
    <x v="2"/>
    <x v="11"/>
    <n v="13"/>
    <n v="0"/>
    <n v="11"/>
    <n v="48.8"/>
  </r>
  <r>
    <x v="69"/>
    <x v="21"/>
    <x v="1"/>
    <x v="0"/>
    <x v="0"/>
    <x v="46"/>
    <x v="67"/>
    <x v="7"/>
    <x v="16"/>
    <n v="13"/>
    <n v="0"/>
    <n v="2"/>
    <n v="44.3"/>
  </r>
  <r>
    <x v="70"/>
    <x v="45"/>
    <x v="1"/>
    <x v="3"/>
    <x v="1"/>
    <x v="47"/>
    <x v="68"/>
    <x v="2"/>
    <x v="14"/>
    <n v="12"/>
    <n v="4325"/>
    <n v="3"/>
    <n v="43.2"/>
  </r>
  <r>
    <x v="71"/>
    <x v="46"/>
    <x v="1"/>
    <x v="1"/>
    <x v="1"/>
    <x v="48"/>
    <x v="69"/>
    <x v="1"/>
    <x v="14"/>
    <n v="11"/>
    <n v="0"/>
    <n v="1"/>
    <n v="12.9"/>
  </r>
  <r>
    <x v="72"/>
    <x v="20"/>
    <x v="1"/>
    <x v="4"/>
    <x v="0"/>
    <x v="13"/>
    <x v="70"/>
    <x v="7"/>
    <x v="28"/>
    <n v="20"/>
    <n v="0"/>
    <n v="14"/>
    <n v="33.200000000000003"/>
  </r>
  <r>
    <x v="73"/>
    <x v="47"/>
    <x v="0"/>
    <x v="3"/>
    <x v="0"/>
    <x v="37"/>
    <x v="71"/>
    <x v="8"/>
    <x v="19"/>
    <n v="3"/>
    <n v="706"/>
    <n v="7"/>
    <n v="21.9"/>
  </r>
  <r>
    <x v="74"/>
    <x v="10"/>
    <x v="0"/>
    <x v="0"/>
    <x v="3"/>
    <x v="39"/>
    <x v="72"/>
    <x v="2"/>
    <x v="5"/>
    <n v="15"/>
    <n v="1891"/>
    <n v="13"/>
    <n v="14.8"/>
  </r>
  <r>
    <x v="75"/>
    <x v="38"/>
    <x v="1"/>
    <x v="1"/>
    <x v="1"/>
    <x v="49"/>
    <x v="73"/>
    <x v="9"/>
    <x v="32"/>
    <n v="16"/>
    <n v="0"/>
    <n v="10"/>
    <n v="22.6"/>
  </r>
  <r>
    <x v="76"/>
    <x v="48"/>
    <x v="1"/>
    <x v="4"/>
    <x v="0"/>
    <x v="50"/>
    <x v="74"/>
    <x v="5"/>
    <x v="11"/>
    <n v="5"/>
    <n v="0"/>
    <n v="12"/>
    <n v="20.399999999999999"/>
  </r>
  <r>
    <x v="77"/>
    <x v="46"/>
    <x v="1"/>
    <x v="4"/>
    <x v="0"/>
    <x v="46"/>
    <x v="75"/>
    <x v="1"/>
    <x v="20"/>
    <n v="30"/>
    <n v="0"/>
    <n v="11"/>
    <n v="0.1"/>
  </r>
  <r>
    <x v="78"/>
    <x v="25"/>
    <x v="1"/>
    <x v="3"/>
    <x v="1"/>
    <x v="29"/>
    <x v="35"/>
    <x v="6"/>
    <x v="32"/>
    <n v="16"/>
    <n v="0"/>
    <n v="15"/>
    <n v="26.5"/>
  </r>
  <r>
    <x v="79"/>
    <x v="19"/>
    <x v="1"/>
    <x v="3"/>
    <x v="2"/>
    <x v="51"/>
    <x v="76"/>
    <x v="1"/>
    <x v="31"/>
    <n v="13"/>
    <n v="0"/>
    <n v="14"/>
    <n v="23.7"/>
  </r>
  <r>
    <x v="80"/>
    <x v="2"/>
    <x v="0"/>
    <x v="5"/>
    <x v="1"/>
    <x v="32"/>
    <x v="77"/>
    <x v="5"/>
    <x v="3"/>
    <n v="3"/>
    <n v="4340"/>
    <n v="2"/>
    <n v="31.5"/>
  </r>
  <r>
    <x v="81"/>
    <x v="36"/>
    <x v="0"/>
    <x v="4"/>
    <x v="3"/>
    <x v="2"/>
    <x v="78"/>
    <x v="8"/>
    <x v="19"/>
    <n v="16"/>
    <n v="0"/>
    <n v="7"/>
    <n v="29.2"/>
  </r>
  <r>
    <x v="82"/>
    <x v="12"/>
    <x v="1"/>
    <x v="0"/>
    <x v="2"/>
    <x v="28"/>
    <x v="79"/>
    <x v="9"/>
    <x v="6"/>
    <n v="24"/>
    <n v="4509"/>
    <n v="8"/>
    <n v="15.5"/>
  </r>
  <r>
    <x v="83"/>
    <x v="28"/>
    <x v="0"/>
    <x v="0"/>
    <x v="3"/>
    <x v="40"/>
    <x v="80"/>
    <x v="3"/>
    <x v="16"/>
    <n v="4"/>
    <n v="0"/>
    <n v="4"/>
    <n v="8.1999999999999993"/>
  </r>
  <r>
    <x v="84"/>
    <x v="36"/>
    <x v="1"/>
    <x v="3"/>
    <x v="0"/>
    <x v="12"/>
    <x v="81"/>
    <x v="1"/>
    <x v="33"/>
    <n v="28"/>
    <n v="3627"/>
    <n v="10"/>
    <n v="40.1"/>
  </r>
  <r>
    <x v="85"/>
    <x v="49"/>
    <x v="1"/>
    <x v="0"/>
    <x v="3"/>
    <x v="52"/>
    <x v="82"/>
    <x v="0"/>
    <x v="34"/>
    <n v="15"/>
    <n v="0"/>
    <n v="8"/>
    <n v="33.299999999999997"/>
  </r>
  <r>
    <x v="86"/>
    <x v="12"/>
    <x v="1"/>
    <x v="1"/>
    <x v="2"/>
    <x v="53"/>
    <x v="83"/>
    <x v="9"/>
    <x v="1"/>
    <n v="10"/>
    <n v="3313"/>
    <n v="8"/>
    <n v="10"/>
  </r>
  <r>
    <x v="87"/>
    <x v="31"/>
    <x v="0"/>
    <x v="1"/>
    <x v="2"/>
    <x v="46"/>
    <x v="84"/>
    <x v="5"/>
    <x v="5"/>
    <n v="21"/>
    <n v="4342"/>
    <n v="6"/>
    <n v="33.4"/>
  </r>
  <r>
    <x v="88"/>
    <x v="38"/>
    <x v="1"/>
    <x v="2"/>
    <x v="2"/>
    <x v="8"/>
    <x v="85"/>
    <x v="5"/>
    <x v="34"/>
    <n v="13"/>
    <n v="0"/>
    <n v="6"/>
    <n v="15.9"/>
  </r>
  <r>
    <x v="89"/>
    <x v="18"/>
    <x v="0"/>
    <x v="5"/>
    <x v="1"/>
    <x v="36"/>
    <x v="50"/>
    <x v="0"/>
    <x v="2"/>
    <n v="25"/>
    <n v="684"/>
    <n v="7"/>
    <n v="16.100000000000001"/>
  </r>
  <r>
    <x v="90"/>
    <x v="0"/>
    <x v="0"/>
    <x v="5"/>
    <x v="1"/>
    <x v="54"/>
    <x v="86"/>
    <x v="3"/>
    <x v="29"/>
    <n v="2"/>
    <n v="4977"/>
    <n v="12"/>
    <n v="12.9"/>
  </r>
  <r>
    <x v="91"/>
    <x v="31"/>
    <x v="0"/>
    <x v="2"/>
    <x v="1"/>
    <x v="37"/>
    <x v="87"/>
    <x v="8"/>
    <x v="19"/>
    <n v="26"/>
    <n v="1292"/>
    <n v="6"/>
    <n v="40.200000000000003"/>
  </r>
  <r>
    <x v="92"/>
    <x v="6"/>
    <x v="1"/>
    <x v="2"/>
    <x v="3"/>
    <x v="55"/>
    <x v="88"/>
    <x v="4"/>
    <x v="27"/>
    <n v="24"/>
    <n v="0"/>
    <n v="8"/>
    <n v="32"/>
  </r>
  <r>
    <x v="93"/>
    <x v="4"/>
    <x v="0"/>
    <x v="1"/>
    <x v="3"/>
    <x v="56"/>
    <x v="89"/>
    <x v="9"/>
    <x v="0"/>
    <n v="2"/>
    <n v="1491"/>
    <n v="5"/>
    <n v="48.5"/>
  </r>
  <r>
    <x v="94"/>
    <x v="4"/>
    <x v="0"/>
    <x v="3"/>
    <x v="3"/>
    <x v="57"/>
    <x v="90"/>
    <x v="9"/>
    <x v="1"/>
    <n v="22"/>
    <n v="0"/>
    <n v="0"/>
    <n v="27.6"/>
  </r>
  <r>
    <x v="95"/>
    <x v="28"/>
    <x v="0"/>
    <x v="1"/>
    <x v="2"/>
    <x v="48"/>
    <x v="91"/>
    <x v="5"/>
    <x v="26"/>
    <n v="13"/>
    <n v="0"/>
    <n v="9"/>
    <n v="31.8"/>
  </r>
  <r>
    <x v="96"/>
    <x v="41"/>
    <x v="0"/>
    <x v="1"/>
    <x v="2"/>
    <x v="26"/>
    <x v="92"/>
    <x v="7"/>
    <x v="35"/>
    <n v="18"/>
    <n v="3708"/>
    <n v="15"/>
    <n v="30.1"/>
  </r>
  <r>
    <x v="97"/>
    <x v="26"/>
    <x v="0"/>
    <x v="3"/>
    <x v="1"/>
    <x v="58"/>
    <x v="93"/>
    <x v="8"/>
    <x v="4"/>
    <n v="3"/>
    <n v="0"/>
    <n v="5"/>
    <n v="28.4"/>
  </r>
  <r>
    <x v="98"/>
    <x v="50"/>
    <x v="1"/>
    <x v="0"/>
    <x v="1"/>
    <x v="2"/>
    <x v="94"/>
    <x v="6"/>
    <x v="29"/>
    <n v="10"/>
    <n v="149"/>
    <n v="7"/>
    <n v="23"/>
  </r>
  <r>
    <x v="99"/>
    <x v="47"/>
    <x v="0"/>
    <x v="1"/>
    <x v="3"/>
    <x v="40"/>
    <x v="95"/>
    <x v="5"/>
    <x v="7"/>
    <n v="27"/>
    <n v="0"/>
    <n v="8"/>
    <n v="7.3"/>
  </r>
  <r>
    <x v="100"/>
    <x v="44"/>
    <x v="1"/>
    <x v="5"/>
    <x v="3"/>
    <x v="18"/>
    <x v="96"/>
    <x v="8"/>
    <x v="27"/>
    <n v="6"/>
    <n v="0"/>
    <n v="3"/>
    <n v="14.8"/>
  </r>
  <r>
    <x v="101"/>
    <x v="41"/>
    <x v="0"/>
    <x v="3"/>
    <x v="2"/>
    <x v="39"/>
    <x v="97"/>
    <x v="0"/>
    <x v="13"/>
    <n v="19"/>
    <n v="0"/>
    <n v="12"/>
    <n v="11.8"/>
  </r>
  <r>
    <x v="102"/>
    <x v="51"/>
    <x v="0"/>
    <x v="1"/>
    <x v="2"/>
    <x v="19"/>
    <x v="98"/>
    <x v="8"/>
    <x v="6"/>
    <n v="8"/>
    <n v="3946"/>
    <n v="13"/>
    <n v="48.3"/>
  </r>
  <r>
    <x v="103"/>
    <x v="31"/>
    <x v="0"/>
    <x v="0"/>
    <x v="3"/>
    <x v="6"/>
    <x v="33"/>
    <x v="8"/>
    <x v="12"/>
    <n v="1"/>
    <n v="0"/>
    <n v="10"/>
    <n v="19.399999999999999"/>
  </r>
  <r>
    <x v="104"/>
    <x v="46"/>
    <x v="1"/>
    <x v="2"/>
    <x v="1"/>
    <x v="53"/>
    <x v="99"/>
    <x v="3"/>
    <x v="7"/>
    <n v="6"/>
    <n v="0"/>
    <n v="8"/>
    <n v="1.1000000000000001"/>
  </r>
  <r>
    <x v="105"/>
    <x v="20"/>
    <x v="0"/>
    <x v="2"/>
    <x v="3"/>
    <x v="34"/>
    <x v="100"/>
    <x v="0"/>
    <x v="8"/>
    <n v="28"/>
    <n v="0"/>
    <n v="11"/>
    <n v="24"/>
  </r>
  <r>
    <x v="106"/>
    <x v="38"/>
    <x v="0"/>
    <x v="1"/>
    <x v="3"/>
    <x v="17"/>
    <x v="31"/>
    <x v="6"/>
    <x v="12"/>
    <n v="1"/>
    <n v="0"/>
    <n v="6"/>
    <n v="48.2"/>
  </r>
  <r>
    <x v="107"/>
    <x v="13"/>
    <x v="0"/>
    <x v="3"/>
    <x v="2"/>
    <x v="59"/>
    <x v="101"/>
    <x v="7"/>
    <x v="25"/>
    <n v="23"/>
    <n v="3440"/>
    <n v="7"/>
    <n v="49.6"/>
  </r>
  <r>
    <x v="108"/>
    <x v="18"/>
    <x v="1"/>
    <x v="2"/>
    <x v="0"/>
    <x v="36"/>
    <x v="102"/>
    <x v="1"/>
    <x v="15"/>
    <n v="19"/>
    <n v="0"/>
    <n v="10"/>
    <n v="18.399999999999999"/>
  </r>
  <r>
    <x v="109"/>
    <x v="2"/>
    <x v="0"/>
    <x v="0"/>
    <x v="2"/>
    <x v="31"/>
    <x v="103"/>
    <x v="9"/>
    <x v="26"/>
    <n v="5"/>
    <n v="254"/>
    <n v="4"/>
    <n v="40.700000000000003"/>
  </r>
  <r>
    <x v="110"/>
    <x v="0"/>
    <x v="0"/>
    <x v="4"/>
    <x v="1"/>
    <x v="60"/>
    <x v="104"/>
    <x v="4"/>
    <x v="6"/>
    <n v="19"/>
    <n v="2192"/>
    <n v="13"/>
    <n v="34.700000000000003"/>
  </r>
  <r>
    <x v="111"/>
    <x v="52"/>
    <x v="1"/>
    <x v="4"/>
    <x v="0"/>
    <x v="61"/>
    <x v="105"/>
    <x v="8"/>
    <x v="36"/>
    <n v="21"/>
    <n v="0"/>
    <n v="13"/>
    <n v="47"/>
  </r>
  <r>
    <x v="112"/>
    <x v="15"/>
    <x v="1"/>
    <x v="3"/>
    <x v="0"/>
    <x v="21"/>
    <x v="106"/>
    <x v="1"/>
    <x v="17"/>
    <n v="29"/>
    <n v="0"/>
    <n v="2"/>
    <n v="8.9"/>
  </r>
  <r>
    <x v="113"/>
    <x v="53"/>
    <x v="1"/>
    <x v="5"/>
    <x v="0"/>
    <x v="22"/>
    <x v="107"/>
    <x v="0"/>
    <x v="23"/>
    <n v="23"/>
    <n v="0"/>
    <n v="0"/>
    <n v="39.4"/>
  </r>
  <r>
    <x v="114"/>
    <x v="34"/>
    <x v="0"/>
    <x v="4"/>
    <x v="3"/>
    <x v="8"/>
    <x v="45"/>
    <x v="1"/>
    <x v="28"/>
    <n v="8"/>
    <n v="0"/>
    <n v="7"/>
    <n v="48.3"/>
  </r>
  <r>
    <x v="115"/>
    <x v="35"/>
    <x v="0"/>
    <x v="0"/>
    <x v="3"/>
    <x v="4"/>
    <x v="15"/>
    <x v="4"/>
    <x v="12"/>
    <n v="16"/>
    <n v="1738"/>
    <n v="1"/>
    <n v="43.9"/>
  </r>
  <r>
    <x v="116"/>
    <x v="17"/>
    <x v="0"/>
    <x v="2"/>
    <x v="0"/>
    <x v="14"/>
    <x v="108"/>
    <x v="0"/>
    <x v="33"/>
    <n v="25"/>
    <n v="0"/>
    <n v="14"/>
    <n v="8"/>
  </r>
  <r>
    <x v="117"/>
    <x v="6"/>
    <x v="1"/>
    <x v="3"/>
    <x v="0"/>
    <x v="43"/>
    <x v="109"/>
    <x v="6"/>
    <x v="23"/>
    <n v="17"/>
    <n v="1656"/>
    <n v="3"/>
    <n v="16"/>
  </r>
  <r>
    <x v="118"/>
    <x v="1"/>
    <x v="0"/>
    <x v="5"/>
    <x v="2"/>
    <x v="53"/>
    <x v="110"/>
    <x v="2"/>
    <x v="32"/>
    <n v="29"/>
    <n v="1466"/>
    <n v="0"/>
    <n v="11.8"/>
  </r>
  <r>
    <x v="119"/>
    <x v="39"/>
    <x v="0"/>
    <x v="3"/>
    <x v="2"/>
    <x v="23"/>
    <x v="111"/>
    <x v="9"/>
    <x v="16"/>
    <n v="28"/>
    <n v="0"/>
    <n v="10"/>
    <n v="13.2"/>
  </r>
  <r>
    <x v="120"/>
    <x v="34"/>
    <x v="0"/>
    <x v="4"/>
    <x v="1"/>
    <x v="0"/>
    <x v="112"/>
    <x v="5"/>
    <x v="11"/>
    <n v="9"/>
    <n v="943"/>
    <n v="9"/>
    <n v="21.4"/>
  </r>
  <r>
    <x v="121"/>
    <x v="45"/>
    <x v="0"/>
    <x v="3"/>
    <x v="0"/>
    <x v="62"/>
    <x v="113"/>
    <x v="2"/>
    <x v="37"/>
    <n v="2"/>
    <n v="0"/>
    <n v="1"/>
    <n v="25.1"/>
  </r>
  <r>
    <x v="122"/>
    <x v="7"/>
    <x v="0"/>
    <x v="5"/>
    <x v="0"/>
    <x v="63"/>
    <x v="114"/>
    <x v="2"/>
    <x v="9"/>
    <n v="11"/>
    <n v="2374"/>
    <n v="6"/>
    <n v="44.6"/>
  </r>
  <r>
    <x v="123"/>
    <x v="38"/>
    <x v="0"/>
    <x v="2"/>
    <x v="2"/>
    <x v="49"/>
    <x v="115"/>
    <x v="0"/>
    <x v="8"/>
    <n v="19"/>
    <n v="0"/>
    <n v="11"/>
    <n v="9.8000000000000007"/>
  </r>
  <r>
    <x v="124"/>
    <x v="1"/>
    <x v="1"/>
    <x v="2"/>
    <x v="3"/>
    <x v="53"/>
    <x v="116"/>
    <x v="0"/>
    <x v="10"/>
    <n v="6"/>
    <n v="1688"/>
    <n v="7"/>
    <n v="46"/>
  </r>
  <r>
    <x v="125"/>
    <x v="4"/>
    <x v="0"/>
    <x v="0"/>
    <x v="3"/>
    <x v="36"/>
    <x v="117"/>
    <x v="9"/>
    <x v="7"/>
    <n v="17"/>
    <n v="4534"/>
    <n v="13"/>
    <n v="25.9"/>
  </r>
  <r>
    <x v="126"/>
    <x v="13"/>
    <x v="0"/>
    <x v="2"/>
    <x v="0"/>
    <x v="9"/>
    <x v="118"/>
    <x v="3"/>
    <x v="23"/>
    <n v="26"/>
    <n v="0"/>
    <n v="4"/>
    <n v="31.1"/>
  </r>
  <r>
    <x v="127"/>
    <x v="9"/>
    <x v="1"/>
    <x v="3"/>
    <x v="0"/>
    <x v="52"/>
    <x v="119"/>
    <x v="2"/>
    <x v="7"/>
    <n v="3"/>
    <n v="2157"/>
    <n v="2"/>
    <n v="20.399999999999999"/>
  </r>
  <r>
    <x v="128"/>
    <x v="34"/>
    <x v="1"/>
    <x v="1"/>
    <x v="3"/>
    <x v="33"/>
    <x v="120"/>
    <x v="7"/>
    <x v="24"/>
    <n v="3"/>
    <n v="4310"/>
    <n v="9"/>
    <n v="2.7"/>
  </r>
  <r>
    <x v="129"/>
    <x v="5"/>
    <x v="1"/>
    <x v="5"/>
    <x v="1"/>
    <x v="12"/>
    <x v="121"/>
    <x v="7"/>
    <x v="30"/>
    <n v="1"/>
    <n v="3883"/>
    <n v="14"/>
    <n v="34.6"/>
  </r>
  <r>
    <x v="130"/>
    <x v="54"/>
    <x v="1"/>
    <x v="3"/>
    <x v="1"/>
    <x v="22"/>
    <x v="122"/>
    <x v="2"/>
    <x v="13"/>
    <n v="6"/>
    <n v="2214"/>
    <n v="8"/>
    <n v="49.9"/>
  </r>
  <r>
    <x v="131"/>
    <x v="11"/>
    <x v="1"/>
    <x v="1"/>
    <x v="1"/>
    <x v="64"/>
    <x v="123"/>
    <x v="9"/>
    <x v="38"/>
    <n v="12"/>
    <n v="3625"/>
    <n v="4"/>
    <n v="0.3"/>
  </r>
  <r>
    <x v="132"/>
    <x v="3"/>
    <x v="0"/>
    <x v="4"/>
    <x v="0"/>
    <x v="63"/>
    <x v="124"/>
    <x v="2"/>
    <x v="16"/>
    <n v="18"/>
    <n v="0"/>
    <n v="10"/>
    <n v="7.9"/>
  </r>
  <r>
    <x v="133"/>
    <x v="0"/>
    <x v="1"/>
    <x v="4"/>
    <x v="3"/>
    <x v="10"/>
    <x v="125"/>
    <x v="3"/>
    <x v="23"/>
    <n v="13"/>
    <n v="0"/>
    <n v="11"/>
    <n v="26.3"/>
  </r>
  <r>
    <x v="134"/>
    <x v="8"/>
    <x v="1"/>
    <x v="4"/>
    <x v="2"/>
    <x v="21"/>
    <x v="126"/>
    <x v="2"/>
    <x v="4"/>
    <n v="17"/>
    <n v="0"/>
    <n v="4"/>
    <n v="32.1"/>
  </r>
  <r>
    <x v="135"/>
    <x v="22"/>
    <x v="0"/>
    <x v="3"/>
    <x v="1"/>
    <x v="48"/>
    <x v="127"/>
    <x v="1"/>
    <x v="12"/>
    <n v="6"/>
    <n v="0"/>
    <n v="13"/>
    <n v="41.2"/>
  </r>
  <r>
    <x v="136"/>
    <x v="8"/>
    <x v="1"/>
    <x v="1"/>
    <x v="3"/>
    <x v="16"/>
    <x v="128"/>
    <x v="7"/>
    <x v="39"/>
    <n v="21"/>
    <n v="1282"/>
    <n v="13"/>
    <n v="46.2"/>
  </r>
  <r>
    <x v="137"/>
    <x v="19"/>
    <x v="0"/>
    <x v="3"/>
    <x v="1"/>
    <x v="65"/>
    <x v="129"/>
    <x v="7"/>
    <x v="3"/>
    <n v="4"/>
    <n v="0"/>
    <n v="4"/>
    <n v="42.9"/>
  </r>
  <r>
    <x v="138"/>
    <x v="55"/>
    <x v="1"/>
    <x v="0"/>
    <x v="1"/>
    <x v="13"/>
    <x v="70"/>
    <x v="5"/>
    <x v="17"/>
    <n v="18"/>
    <n v="0"/>
    <n v="14"/>
    <n v="21.7"/>
  </r>
  <r>
    <x v="139"/>
    <x v="15"/>
    <x v="0"/>
    <x v="3"/>
    <x v="1"/>
    <x v="22"/>
    <x v="130"/>
    <x v="4"/>
    <x v="13"/>
    <n v="11"/>
    <n v="0"/>
    <n v="2"/>
    <n v="2.5"/>
  </r>
  <r>
    <x v="140"/>
    <x v="33"/>
    <x v="1"/>
    <x v="0"/>
    <x v="2"/>
    <x v="35"/>
    <x v="131"/>
    <x v="5"/>
    <x v="16"/>
    <n v="20"/>
    <n v="3827"/>
    <n v="7"/>
    <n v="48.8"/>
  </r>
  <r>
    <x v="141"/>
    <x v="33"/>
    <x v="0"/>
    <x v="5"/>
    <x v="1"/>
    <x v="66"/>
    <x v="132"/>
    <x v="6"/>
    <x v="4"/>
    <n v="4"/>
    <n v="0"/>
    <n v="13"/>
    <n v="31.6"/>
  </r>
  <r>
    <x v="142"/>
    <x v="56"/>
    <x v="0"/>
    <x v="1"/>
    <x v="2"/>
    <x v="4"/>
    <x v="133"/>
    <x v="3"/>
    <x v="21"/>
    <n v="24"/>
    <n v="0"/>
    <n v="5"/>
    <n v="43.2"/>
  </r>
  <r>
    <x v="143"/>
    <x v="45"/>
    <x v="1"/>
    <x v="3"/>
    <x v="0"/>
    <x v="26"/>
    <x v="134"/>
    <x v="4"/>
    <x v="31"/>
    <n v="24"/>
    <n v="3890"/>
    <n v="10"/>
    <n v="28.7"/>
  </r>
  <r>
    <x v="144"/>
    <x v="57"/>
    <x v="1"/>
    <x v="5"/>
    <x v="0"/>
    <x v="3"/>
    <x v="135"/>
    <x v="1"/>
    <x v="30"/>
    <n v="16"/>
    <n v="2885"/>
    <n v="9"/>
    <n v="36.6"/>
  </r>
  <r>
    <x v="145"/>
    <x v="8"/>
    <x v="0"/>
    <x v="2"/>
    <x v="2"/>
    <x v="24"/>
    <x v="136"/>
    <x v="0"/>
    <x v="17"/>
    <n v="24"/>
    <n v="0"/>
    <n v="7"/>
    <n v="44.7"/>
  </r>
  <r>
    <x v="146"/>
    <x v="17"/>
    <x v="1"/>
    <x v="4"/>
    <x v="2"/>
    <x v="65"/>
    <x v="137"/>
    <x v="5"/>
    <x v="21"/>
    <n v="15"/>
    <n v="4675"/>
    <n v="1"/>
    <n v="47.8"/>
  </r>
  <r>
    <x v="147"/>
    <x v="41"/>
    <x v="1"/>
    <x v="2"/>
    <x v="1"/>
    <x v="24"/>
    <x v="138"/>
    <x v="8"/>
    <x v="40"/>
    <n v="16"/>
    <n v="266"/>
    <n v="13"/>
    <n v="33.9"/>
  </r>
  <r>
    <x v="148"/>
    <x v="1"/>
    <x v="1"/>
    <x v="5"/>
    <x v="0"/>
    <x v="13"/>
    <x v="139"/>
    <x v="0"/>
    <x v="3"/>
    <n v="11"/>
    <n v="4594"/>
    <n v="14"/>
    <n v="17.3"/>
  </r>
  <r>
    <x v="149"/>
    <x v="13"/>
    <x v="1"/>
    <x v="1"/>
    <x v="3"/>
    <x v="10"/>
    <x v="140"/>
    <x v="3"/>
    <x v="15"/>
    <n v="15"/>
    <n v="3570"/>
    <n v="7"/>
    <n v="25.9"/>
  </r>
  <r>
    <x v="150"/>
    <x v="52"/>
    <x v="0"/>
    <x v="5"/>
    <x v="3"/>
    <x v="4"/>
    <x v="141"/>
    <x v="9"/>
    <x v="13"/>
    <n v="17"/>
    <n v="0"/>
    <n v="2"/>
    <n v="15.4"/>
  </r>
  <r>
    <x v="151"/>
    <x v="19"/>
    <x v="0"/>
    <x v="2"/>
    <x v="1"/>
    <x v="24"/>
    <x v="142"/>
    <x v="9"/>
    <x v="29"/>
    <n v="24"/>
    <n v="3786"/>
    <n v="3"/>
    <n v="28.6"/>
  </r>
  <r>
    <x v="152"/>
    <x v="33"/>
    <x v="1"/>
    <x v="2"/>
    <x v="3"/>
    <x v="14"/>
    <x v="143"/>
    <x v="8"/>
    <x v="21"/>
    <n v="17"/>
    <n v="0"/>
    <n v="0"/>
    <n v="12.2"/>
  </r>
  <r>
    <x v="153"/>
    <x v="58"/>
    <x v="0"/>
    <x v="5"/>
    <x v="3"/>
    <x v="67"/>
    <x v="144"/>
    <x v="9"/>
    <x v="27"/>
    <n v="8"/>
    <n v="0"/>
    <n v="4"/>
    <n v="36.299999999999997"/>
  </r>
  <r>
    <x v="154"/>
    <x v="35"/>
    <x v="1"/>
    <x v="3"/>
    <x v="3"/>
    <x v="39"/>
    <x v="145"/>
    <x v="0"/>
    <x v="23"/>
    <n v="26"/>
    <n v="4695"/>
    <n v="9"/>
    <n v="11.8"/>
  </r>
  <r>
    <x v="155"/>
    <x v="30"/>
    <x v="1"/>
    <x v="2"/>
    <x v="1"/>
    <x v="24"/>
    <x v="146"/>
    <x v="0"/>
    <x v="19"/>
    <n v="27"/>
    <n v="3318"/>
    <n v="14"/>
    <n v="6.4"/>
  </r>
  <r>
    <x v="156"/>
    <x v="11"/>
    <x v="0"/>
    <x v="3"/>
    <x v="0"/>
    <x v="59"/>
    <x v="147"/>
    <x v="1"/>
    <x v="40"/>
    <n v="12"/>
    <n v="0"/>
    <n v="9"/>
    <n v="26.3"/>
  </r>
  <r>
    <x v="157"/>
    <x v="26"/>
    <x v="0"/>
    <x v="3"/>
    <x v="3"/>
    <x v="12"/>
    <x v="148"/>
    <x v="8"/>
    <x v="11"/>
    <n v="19"/>
    <n v="0"/>
    <n v="13"/>
    <n v="3.4"/>
  </r>
  <r>
    <x v="158"/>
    <x v="12"/>
    <x v="0"/>
    <x v="4"/>
    <x v="1"/>
    <x v="18"/>
    <x v="149"/>
    <x v="2"/>
    <x v="15"/>
    <n v="12"/>
    <n v="1661"/>
    <n v="15"/>
    <n v="13"/>
  </r>
  <r>
    <x v="159"/>
    <x v="22"/>
    <x v="1"/>
    <x v="0"/>
    <x v="2"/>
    <x v="59"/>
    <x v="150"/>
    <x v="4"/>
    <x v="37"/>
    <n v="20"/>
    <n v="2315"/>
    <n v="13"/>
    <n v="6.9"/>
  </r>
  <r>
    <x v="160"/>
    <x v="38"/>
    <x v="1"/>
    <x v="1"/>
    <x v="3"/>
    <x v="6"/>
    <x v="151"/>
    <x v="1"/>
    <x v="7"/>
    <n v="13"/>
    <n v="0"/>
    <n v="15"/>
    <n v="4"/>
  </r>
  <r>
    <x v="161"/>
    <x v="57"/>
    <x v="0"/>
    <x v="3"/>
    <x v="2"/>
    <x v="2"/>
    <x v="152"/>
    <x v="8"/>
    <x v="34"/>
    <n v="17"/>
    <n v="4206"/>
    <n v="14"/>
    <n v="31.2"/>
  </r>
  <r>
    <x v="162"/>
    <x v="29"/>
    <x v="0"/>
    <x v="1"/>
    <x v="0"/>
    <x v="68"/>
    <x v="153"/>
    <x v="4"/>
    <x v="39"/>
    <n v="30"/>
    <n v="2051"/>
    <n v="9"/>
    <n v="41.8"/>
  </r>
  <r>
    <x v="163"/>
    <x v="36"/>
    <x v="1"/>
    <x v="2"/>
    <x v="3"/>
    <x v="51"/>
    <x v="154"/>
    <x v="6"/>
    <x v="29"/>
    <n v="30"/>
    <n v="0"/>
    <n v="7"/>
    <n v="44.1"/>
  </r>
  <r>
    <x v="164"/>
    <x v="36"/>
    <x v="1"/>
    <x v="5"/>
    <x v="0"/>
    <x v="64"/>
    <x v="155"/>
    <x v="9"/>
    <x v="33"/>
    <n v="11"/>
    <n v="4668"/>
    <n v="14"/>
    <n v="38.299999999999997"/>
  </r>
  <r>
    <x v="165"/>
    <x v="59"/>
    <x v="0"/>
    <x v="0"/>
    <x v="3"/>
    <x v="60"/>
    <x v="156"/>
    <x v="3"/>
    <x v="2"/>
    <n v="13"/>
    <n v="0"/>
    <n v="2"/>
    <n v="44"/>
  </r>
  <r>
    <x v="166"/>
    <x v="25"/>
    <x v="1"/>
    <x v="1"/>
    <x v="0"/>
    <x v="61"/>
    <x v="157"/>
    <x v="1"/>
    <x v="21"/>
    <n v="11"/>
    <n v="0"/>
    <n v="3"/>
    <n v="26.1"/>
  </r>
  <r>
    <x v="167"/>
    <x v="57"/>
    <x v="1"/>
    <x v="0"/>
    <x v="2"/>
    <x v="49"/>
    <x v="158"/>
    <x v="6"/>
    <x v="40"/>
    <n v="12"/>
    <n v="1886"/>
    <n v="7"/>
    <n v="16.2"/>
  </r>
  <r>
    <x v="168"/>
    <x v="60"/>
    <x v="0"/>
    <x v="2"/>
    <x v="1"/>
    <x v="8"/>
    <x v="159"/>
    <x v="0"/>
    <x v="13"/>
    <n v="26"/>
    <n v="1941"/>
    <n v="5"/>
    <n v="31"/>
  </r>
  <r>
    <x v="169"/>
    <x v="52"/>
    <x v="0"/>
    <x v="3"/>
    <x v="0"/>
    <x v="50"/>
    <x v="160"/>
    <x v="2"/>
    <x v="9"/>
    <n v="28"/>
    <n v="578"/>
    <n v="2"/>
    <n v="9.6999999999999993"/>
  </r>
  <r>
    <x v="170"/>
    <x v="10"/>
    <x v="1"/>
    <x v="0"/>
    <x v="3"/>
    <x v="32"/>
    <x v="161"/>
    <x v="1"/>
    <x v="2"/>
    <n v="16"/>
    <n v="2767"/>
    <n v="4"/>
    <n v="34.299999999999997"/>
  </r>
  <r>
    <x v="171"/>
    <x v="11"/>
    <x v="1"/>
    <x v="3"/>
    <x v="1"/>
    <x v="59"/>
    <x v="162"/>
    <x v="1"/>
    <x v="25"/>
    <n v="9"/>
    <n v="4878"/>
    <n v="2"/>
    <n v="40.299999999999997"/>
  </r>
  <r>
    <x v="172"/>
    <x v="11"/>
    <x v="1"/>
    <x v="2"/>
    <x v="2"/>
    <x v="45"/>
    <x v="65"/>
    <x v="6"/>
    <x v="32"/>
    <n v="9"/>
    <n v="0"/>
    <n v="14"/>
    <n v="46.9"/>
  </r>
  <r>
    <x v="173"/>
    <x v="14"/>
    <x v="0"/>
    <x v="4"/>
    <x v="1"/>
    <x v="66"/>
    <x v="163"/>
    <x v="9"/>
    <x v="25"/>
    <n v="30"/>
    <n v="1483"/>
    <n v="11"/>
    <n v="6.2"/>
  </r>
  <r>
    <x v="174"/>
    <x v="59"/>
    <x v="0"/>
    <x v="1"/>
    <x v="1"/>
    <x v="49"/>
    <x v="164"/>
    <x v="9"/>
    <x v="1"/>
    <n v="12"/>
    <n v="1143"/>
    <n v="3"/>
    <n v="12.3"/>
  </r>
  <r>
    <x v="175"/>
    <x v="2"/>
    <x v="1"/>
    <x v="0"/>
    <x v="0"/>
    <x v="12"/>
    <x v="165"/>
    <x v="6"/>
    <x v="15"/>
    <n v="12"/>
    <n v="0"/>
    <n v="2"/>
    <n v="26.5"/>
  </r>
  <r>
    <x v="176"/>
    <x v="4"/>
    <x v="1"/>
    <x v="2"/>
    <x v="0"/>
    <x v="58"/>
    <x v="166"/>
    <x v="7"/>
    <x v="0"/>
    <n v="2"/>
    <n v="4362"/>
    <n v="13"/>
    <n v="21"/>
  </r>
  <r>
    <x v="177"/>
    <x v="54"/>
    <x v="0"/>
    <x v="4"/>
    <x v="2"/>
    <x v="7"/>
    <x v="167"/>
    <x v="7"/>
    <x v="9"/>
    <n v="29"/>
    <n v="0"/>
    <n v="7"/>
    <n v="0"/>
  </r>
  <r>
    <x v="178"/>
    <x v="34"/>
    <x v="1"/>
    <x v="1"/>
    <x v="3"/>
    <x v="66"/>
    <x v="168"/>
    <x v="2"/>
    <x v="19"/>
    <n v="21"/>
    <n v="0"/>
    <n v="3"/>
    <n v="21.1"/>
  </r>
  <r>
    <x v="179"/>
    <x v="57"/>
    <x v="1"/>
    <x v="2"/>
    <x v="2"/>
    <x v="25"/>
    <x v="169"/>
    <x v="6"/>
    <x v="16"/>
    <n v="14"/>
    <n v="0"/>
    <n v="13"/>
    <n v="22.3"/>
  </r>
  <r>
    <x v="180"/>
    <x v="0"/>
    <x v="0"/>
    <x v="0"/>
    <x v="1"/>
    <x v="69"/>
    <x v="170"/>
    <x v="2"/>
    <x v="10"/>
    <n v="30"/>
    <n v="1205"/>
    <n v="9"/>
    <n v="23.7"/>
  </r>
  <r>
    <x v="181"/>
    <x v="17"/>
    <x v="0"/>
    <x v="0"/>
    <x v="3"/>
    <x v="70"/>
    <x v="171"/>
    <x v="1"/>
    <x v="8"/>
    <n v="14"/>
    <n v="0"/>
    <n v="10"/>
    <n v="29.8"/>
  </r>
  <r>
    <x v="182"/>
    <x v="16"/>
    <x v="0"/>
    <x v="3"/>
    <x v="3"/>
    <x v="18"/>
    <x v="172"/>
    <x v="0"/>
    <x v="13"/>
    <n v="11"/>
    <n v="0"/>
    <n v="7"/>
    <n v="28.7"/>
  </r>
  <r>
    <x v="183"/>
    <x v="55"/>
    <x v="1"/>
    <x v="3"/>
    <x v="1"/>
    <x v="53"/>
    <x v="173"/>
    <x v="2"/>
    <x v="4"/>
    <n v="7"/>
    <n v="0"/>
    <n v="0"/>
    <n v="30.4"/>
  </r>
  <r>
    <x v="184"/>
    <x v="2"/>
    <x v="1"/>
    <x v="1"/>
    <x v="1"/>
    <x v="26"/>
    <x v="174"/>
    <x v="9"/>
    <x v="12"/>
    <n v="12"/>
    <n v="1612"/>
    <n v="9"/>
    <n v="25.6"/>
  </r>
  <r>
    <x v="185"/>
    <x v="40"/>
    <x v="1"/>
    <x v="2"/>
    <x v="2"/>
    <x v="71"/>
    <x v="175"/>
    <x v="1"/>
    <x v="33"/>
    <n v="6"/>
    <n v="0"/>
    <n v="9"/>
    <n v="38"/>
  </r>
  <r>
    <x v="186"/>
    <x v="20"/>
    <x v="1"/>
    <x v="0"/>
    <x v="2"/>
    <x v="72"/>
    <x v="176"/>
    <x v="1"/>
    <x v="36"/>
    <n v="11"/>
    <n v="4266"/>
    <n v="8"/>
    <n v="42.1"/>
  </r>
  <r>
    <x v="187"/>
    <x v="17"/>
    <x v="0"/>
    <x v="4"/>
    <x v="3"/>
    <x v="73"/>
    <x v="177"/>
    <x v="8"/>
    <x v="27"/>
    <n v="29"/>
    <n v="0"/>
    <n v="4"/>
    <n v="7.7"/>
  </r>
  <r>
    <x v="188"/>
    <x v="6"/>
    <x v="0"/>
    <x v="4"/>
    <x v="1"/>
    <x v="70"/>
    <x v="178"/>
    <x v="0"/>
    <x v="33"/>
    <n v="23"/>
    <n v="2858"/>
    <n v="0"/>
    <n v="48.8"/>
  </r>
  <r>
    <x v="189"/>
    <x v="2"/>
    <x v="0"/>
    <x v="3"/>
    <x v="1"/>
    <x v="61"/>
    <x v="179"/>
    <x v="9"/>
    <x v="2"/>
    <n v="8"/>
    <n v="510"/>
    <n v="3"/>
    <n v="16.2"/>
  </r>
  <r>
    <x v="190"/>
    <x v="27"/>
    <x v="1"/>
    <x v="5"/>
    <x v="0"/>
    <x v="36"/>
    <x v="180"/>
    <x v="3"/>
    <x v="8"/>
    <n v="14"/>
    <n v="0"/>
    <n v="12"/>
    <n v="2.4"/>
  </r>
  <r>
    <x v="191"/>
    <x v="41"/>
    <x v="0"/>
    <x v="1"/>
    <x v="0"/>
    <x v="70"/>
    <x v="181"/>
    <x v="4"/>
    <x v="28"/>
    <n v="2"/>
    <n v="3839"/>
    <n v="9"/>
    <n v="36.700000000000003"/>
  </r>
  <r>
    <x v="192"/>
    <x v="17"/>
    <x v="0"/>
    <x v="4"/>
    <x v="0"/>
    <x v="47"/>
    <x v="182"/>
    <x v="1"/>
    <x v="30"/>
    <n v="8"/>
    <n v="0"/>
    <n v="3"/>
    <n v="49.6"/>
  </r>
  <r>
    <x v="193"/>
    <x v="31"/>
    <x v="0"/>
    <x v="3"/>
    <x v="3"/>
    <x v="46"/>
    <x v="75"/>
    <x v="9"/>
    <x v="10"/>
    <n v="8"/>
    <n v="461"/>
    <n v="14"/>
    <n v="36.700000000000003"/>
  </r>
  <r>
    <x v="194"/>
    <x v="60"/>
    <x v="1"/>
    <x v="4"/>
    <x v="3"/>
    <x v="74"/>
    <x v="183"/>
    <x v="2"/>
    <x v="1"/>
    <n v="14"/>
    <n v="0"/>
    <n v="4"/>
    <n v="42"/>
  </r>
  <r>
    <x v="195"/>
    <x v="40"/>
    <x v="0"/>
    <x v="3"/>
    <x v="2"/>
    <x v="57"/>
    <x v="184"/>
    <x v="9"/>
    <x v="36"/>
    <n v="11"/>
    <n v="0"/>
    <n v="11"/>
    <n v="36.799999999999997"/>
  </r>
  <r>
    <x v="196"/>
    <x v="9"/>
    <x v="0"/>
    <x v="5"/>
    <x v="0"/>
    <x v="7"/>
    <x v="185"/>
    <x v="4"/>
    <x v="26"/>
    <n v="5"/>
    <n v="2530"/>
    <n v="0"/>
    <n v="3"/>
  </r>
  <r>
    <x v="197"/>
    <x v="34"/>
    <x v="1"/>
    <x v="1"/>
    <x v="1"/>
    <x v="42"/>
    <x v="186"/>
    <x v="1"/>
    <x v="31"/>
    <n v="5"/>
    <n v="3388"/>
    <n v="11"/>
    <n v="31.1"/>
  </r>
  <r>
    <x v="198"/>
    <x v="28"/>
    <x v="1"/>
    <x v="3"/>
    <x v="2"/>
    <x v="23"/>
    <x v="187"/>
    <x v="5"/>
    <x v="28"/>
    <n v="25"/>
    <n v="0"/>
    <n v="15"/>
    <n v="43.2"/>
  </r>
  <r>
    <x v="199"/>
    <x v="12"/>
    <x v="0"/>
    <x v="3"/>
    <x v="3"/>
    <x v="13"/>
    <x v="188"/>
    <x v="5"/>
    <x v="6"/>
    <n v="6"/>
    <n v="448"/>
    <n v="13"/>
    <n v="1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28EC72-3353-42A0-BD1B-850D40F9614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2:B19" firstHeaderRow="1" firstDataRow="1" firstDataCol="1"/>
  <pivotFields count="13">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items count="3">
        <item x="1"/>
        <item x="0"/>
        <item t="default"/>
      </items>
    </pivotField>
    <pivotField axis="axisRow" showAll="0">
      <items count="7">
        <item x="3"/>
        <item x="5"/>
        <item x="1"/>
        <item x="2"/>
        <item x="4"/>
        <item x="0"/>
        <item t="default"/>
      </items>
    </pivotField>
    <pivotField showAll="0">
      <items count="5">
        <item x="2"/>
        <item x="3"/>
        <item x="1"/>
        <item x="0"/>
        <item t="default"/>
      </items>
    </pivotField>
    <pivotField showAll="0"/>
    <pivotField showAll="0"/>
    <pivotField showAll="0"/>
    <pivotField showAll="0">
      <items count="42">
        <item x="29"/>
        <item x="17"/>
        <item x="30"/>
        <item x="7"/>
        <item x="32"/>
        <item x="16"/>
        <item x="27"/>
        <item x="26"/>
        <item x="12"/>
        <item x="11"/>
        <item x="14"/>
        <item x="38"/>
        <item x="9"/>
        <item x="22"/>
        <item x="6"/>
        <item x="1"/>
        <item x="39"/>
        <item x="40"/>
        <item x="4"/>
        <item x="5"/>
        <item x="35"/>
        <item x="3"/>
        <item x="19"/>
        <item x="10"/>
        <item x="13"/>
        <item x="15"/>
        <item x="24"/>
        <item x="18"/>
        <item x="8"/>
        <item x="33"/>
        <item x="2"/>
        <item x="36"/>
        <item x="23"/>
        <item x="28"/>
        <item x="25"/>
        <item x="34"/>
        <item x="21"/>
        <item x="37"/>
        <item x="31"/>
        <item x="0"/>
        <item x="20"/>
        <item t="default"/>
      </items>
    </pivotField>
    <pivotField showAll="0"/>
    <pivotField numFmtId="164" showAll="0"/>
    <pivotField showAll="0"/>
    <pivotField numFmtId="1" showAll="0"/>
  </pivotFields>
  <rowFields count="1">
    <field x="3"/>
  </rowFields>
  <rowItems count="7">
    <i>
      <x/>
    </i>
    <i>
      <x v="1"/>
    </i>
    <i>
      <x v="2"/>
    </i>
    <i>
      <x v="3"/>
    </i>
    <i>
      <x v="4"/>
    </i>
    <i>
      <x v="5"/>
    </i>
    <i t="grand">
      <x/>
    </i>
  </rowItems>
  <colItems count="1">
    <i/>
  </colItems>
  <dataFields count="1">
    <dataField name="Count of Patron_ID" fld="0" subtotal="count"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C48B36-A0D2-4C0A-9BB0-52535D25A26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3">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items count="3">
        <item x="1"/>
        <item x="0"/>
        <item t="default"/>
      </items>
    </pivotField>
    <pivotField showAll="0">
      <items count="7">
        <item x="3"/>
        <item x="5"/>
        <item x="1"/>
        <item x="2"/>
        <item x="4"/>
        <item x="0"/>
        <item t="default"/>
      </items>
    </pivotField>
    <pivotField axis="axisRow" showAll="0">
      <items count="5">
        <item x="2"/>
        <item x="3"/>
        <item x="1"/>
        <item x="0"/>
        <item t="default"/>
      </items>
    </pivotField>
    <pivotField showAll="0"/>
    <pivotField showAll="0"/>
    <pivotField showAll="0"/>
    <pivotField showAll="0">
      <items count="42">
        <item x="29"/>
        <item x="17"/>
        <item x="30"/>
        <item x="7"/>
        <item x="32"/>
        <item x="16"/>
        <item x="27"/>
        <item x="26"/>
        <item x="12"/>
        <item x="11"/>
        <item x="14"/>
        <item x="38"/>
        <item x="9"/>
        <item x="22"/>
        <item x="6"/>
        <item x="1"/>
        <item x="39"/>
        <item x="40"/>
        <item x="4"/>
        <item x="5"/>
        <item x="35"/>
        <item x="3"/>
        <item x="19"/>
        <item x="10"/>
        <item x="13"/>
        <item x="15"/>
        <item x="24"/>
        <item x="18"/>
        <item x="8"/>
        <item x="33"/>
        <item x="2"/>
        <item x="36"/>
        <item x="23"/>
        <item x="28"/>
        <item x="25"/>
        <item x="34"/>
        <item x="21"/>
        <item x="37"/>
        <item x="31"/>
        <item x="0"/>
        <item x="20"/>
        <item t="default"/>
      </items>
    </pivotField>
    <pivotField showAll="0"/>
    <pivotField numFmtId="164" showAll="0"/>
    <pivotField showAll="0"/>
    <pivotField numFmtId="1" showAll="0"/>
  </pivotFields>
  <rowFields count="1">
    <field x="4"/>
  </rowFields>
  <rowItems count="5">
    <i>
      <x/>
    </i>
    <i>
      <x v="1"/>
    </i>
    <i>
      <x v="2"/>
    </i>
    <i>
      <x v="3"/>
    </i>
    <i t="grand">
      <x/>
    </i>
  </rowItems>
  <colItems count="1">
    <i/>
  </colItems>
  <dataFields count="1">
    <dataField name="Count of Patron_ID" fld="0" subtotal="count" baseField="0" baseItem="0"/>
  </dataFields>
  <chartFormats count="5">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D02BDB-BD2A-49F4-8EE7-AC3C7554668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B47" firstHeaderRow="1" firstDataRow="1" firstDataCol="1"/>
  <pivotFields count="13">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items count="3">
        <item x="1"/>
        <item x="0"/>
        <item t="default"/>
      </items>
    </pivotField>
    <pivotField showAll="0">
      <items count="7">
        <item x="3"/>
        <item x="5"/>
        <item x="1"/>
        <item x="2"/>
        <item x="4"/>
        <item x="0"/>
        <item t="default"/>
      </items>
    </pivotField>
    <pivotField showAll="0">
      <items count="5">
        <item x="2"/>
        <item x="3"/>
        <item x="1"/>
        <item x="0"/>
        <item t="default"/>
      </items>
    </pivotField>
    <pivotField showAll="0"/>
    <pivotField showAll="0"/>
    <pivotField axis="axisRow" showAll="0">
      <items count="11">
        <item x="5"/>
        <item x="6"/>
        <item x="2"/>
        <item x="1"/>
        <item x="0"/>
        <item x="3"/>
        <item x="4"/>
        <item x="7"/>
        <item x="9"/>
        <item x="8"/>
        <item t="default"/>
      </items>
    </pivotField>
    <pivotField showAll="0">
      <items count="42">
        <item x="29"/>
        <item x="17"/>
        <item x="30"/>
        <item x="7"/>
        <item x="32"/>
        <item x="16"/>
        <item x="27"/>
        <item x="26"/>
        <item x="12"/>
        <item x="11"/>
        <item x="14"/>
        <item x="38"/>
        <item x="9"/>
        <item x="22"/>
        <item x="6"/>
        <item x="1"/>
        <item x="39"/>
        <item x="40"/>
        <item x="4"/>
        <item x="5"/>
        <item x="35"/>
        <item x="3"/>
        <item x="19"/>
        <item x="10"/>
        <item x="13"/>
        <item x="15"/>
        <item x="24"/>
        <item x="18"/>
        <item x="8"/>
        <item x="33"/>
        <item x="2"/>
        <item x="36"/>
        <item x="23"/>
        <item x="28"/>
        <item x="25"/>
        <item x="34"/>
        <item x="21"/>
        <item x="37"/>
        <item x="31"/>
        <item x="0"/>
        <item x="20"/>
        <item t="default"/>
      </items>
    </pivotField>
    <pivotField showAll="0"/>
    <pivotField numFmtId="164" showAll="0"/>
    <pivotField showAll="0"/>
    <pivotField numFmtId="1" showAll="0"/>
  </pivotFields>
  <rowFields count="1">
    <field x="7"/>
  </rowFields>
  <rowItems count="11">
    <i>
      <x/>
    </i>
    <i>
      <x v="1"/>
    </i>
    <i>
      <x v="2"/>
    </i>
    <i>
      <x v="3"/>
    </i>
    <i>
      <x v="4"/>
    </i>
    <i>
      <x v="5"/>
    </i>
    <i>
      <x v="6"/>
    </i>
    <i>
      <x v="7"/>
    </i>
    <i>
      <x v="8"/>
    </i>
    <i>
      <x v="9"/>
    </i>
    <i t="grand">
      <x/>
    </i>
  </rowItems>
  <colItems count="1">
    <i/>
  </colItems>
  <dataFields count="1">
    <dataField name="Count of Patron_ID" fld="0" subtotal="count" baseField="0" baseItem="0"/>
  </dataFields>
  <chartFormats count="11">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7" count="1" selected="0">
            <x v="0"/>
          </reference>
        </references>
      </pivotArea>
    </chartFormat>
    <chartFormat chart="5" format="13">
      <pivotArea type="data" outline="0" fieldPosition="0">
        <references count="2">
          <reference field="4294967294" count="1" selected="0">
            <x v="0"/>
          </reference>
          <reference field="7" count="1" selected="0">
            <x v="1"/>
          </reference>
        </references>
      </pivotArea>
    </chartFormat>
    <chartFormat chart="5" format="14">
      <pivotArea type="data" outline="0" fieldPosition="0">
        <references count="2">
          <reference field="4294967294" count="1" selected="0">
            <x v="0"/>
          </reference>
          <reference field="7" count="1" selected="0">
            <x v="2"/>
          </reference>
        </references>
      </pivotArea>
    </chartFormat>
    <chartFormat chart="5" format="15">
      <pivotArea type="data" outline="0" fieldPosition="0">
        <references count="2">
          <reference field="4294967294" count="1" selected="0">
            <x v="0"/>
          </reference>
          <reference field="7" count="1" selected="0">
            <x v="3"/>
          </reference>
        </references>
      </pivotArea>
    </chartFormat>
    <chartFormat chart="5" format="16">
      <pivotArea type="data" outline="0" fieldPosition="0">
        <references count="2">
          <reference field="4294967294" count="1" selected="0">
            <x v="0"/>
          </reference>
          <reference field="7" count="1" selected="0">
            <x v="4"/>
          </reference>
        </references>
      </pivotArea>
    </chartFormat>
    <chartFormat chart="5" format="17">
      <pivotArea type="data" outline="0" fieldPosition="0">
        <references count="2">
          <reference field="4294967294" count="1" selected="0">
            <x v="0"/>
          </reference>
          <reference field="7" count="1" selected="0">
            <x v="5"/>
          </reference>
        </references>
      </pivotArea>
    </chartFormat>
    <chartFormat chart="5" format="18">
      <pivotArea type="data" outline="0" fieldPosition="0">
        <references count="2">
          <reference field="4294967294" count="1" selected="0">
            <x v="0"/>
          </reference>
          <reference field="7" count="1" selected="0">
            <x v="6"/>
          </reference>
        </references>
      </pivotArea>
    </chartFormat>
    <chartFormat chart="5" format="19">
      <pivotArea type="data" outline="0" fieldPosition="0">
        <references count="2">
          <reference field="4294967294" count="1" selected="0">
            <x v="0"/>
          </reference>
          <reference field="7" count="1" selected="0">
            <x v="7"/>
          </reference>
        </references>
      </pivotArea>
    </chartFormat>
    <chartFormat chart="5" format="20">
      <pivotArea type="data" outline="0" fieldPosition="0">
        <references count="2">
          <reference field="4294967294" count="1" selected="0">
            <x v="0"/>
          </reference>
          <reference field="7" count="1" selected="0">
            <x v="8"/>
          </reference>
        </references>
      </pivotArea>
    </chartFormat>
    <chartFormat chart="5" format="21">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05B0E9-015F-49A8-BD87-876883269E3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32" firstHeaderRow="1" firstDataRow="1" firstDataCol="1"/>
  <pivotFields count="13">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items count="3">
        <item x="1"/>
        <item x="0"/>
        <item t="default"/>
      </items>
    </pivotField>
    <pivotField showAll="0">
      <items count="7">
        <item x="3"/>
        <item x="5"/>
        <item x="1"/>
        <item x="2"/>
        <item x="4"/>
        <item x="0"/>
        <item t="default"/>
      </items>
    </pivotField>
    <pivotField showAll="0">
      <items count="5">
        <item x="2"/>
        <item x="3"/>
        <item x="1"/>
        <item x="0"/>
        <item t="default"/>
      </items>
    </pivotField>
    <pivotField axis="axisRow" showAll="0" sortType="ascending">
      <items count="76">
        <item h="1" x="21"/>
        <item h="1" x="3"/>
        <item h="1" x="10"/>
        <item h="1" x="15"/>
        <item h="1" x="23"/>
        <item h="1" x="63"/>
        <item h="1" x="57"/>
        <item x="32"/>
        <item x="73"/>
        <item h="1" x="0"/>
        <item h="1" x="74"/>
        <item h="1" x="54"/>
        <item h="1" x="20"/>
        <item h="1" x="17"/>
        <item h="1" x="44"/>
        <item h="1" x="16"/>
        <item x="58"/>
        <item h="1" x="46"/>
        <item h="1" x="13"/>
        <item h="1" x="40"/>
        <item h="1" x="2"/>
        <item h="1" x="14"/>
        <item h="1" x="26"/>
        <item h="1" x="12"/>
        <item h="1" x="6"/>
        <item h="1" x="29"/>
        <item h="1" x="64"/>
        <item h="1" x="72"/>
        <item h="1" x="47"/>
        <item x="11"/>
        <item h="1" x="60"/>
        <item h="1" x="71"/>
        <item h="1" x="49"/>
        <item h="1" x="33"/>
        <item h="1" x="50"/>
        <item h="1" x="30"/>
        <item x="4"/>
        <item h="1" x="27"/>
        <item h="1" x="52"/>
        <item h="1" x="62"/>
        <item h="1" x="69"/>
        <item h="1" x="9"/>
        <item h="1" x="5"/>
        <item h="1" x="56"/>
        <item h="1" x="68"/>
        <item h="1" x="66"/>
        <item h="1" x="53"/>
        <item x="36"/>
        <item h="1" x="1"/>
        <item h="1" x="38"/>
        <item h="1" x="7"/>
        <item h="1" x="31"/>
        <item h="1" x="48"/>
        <item h="1" x="35"/>
        <item h="1" x="28"/>
        <item h="1" x="43"/>
        <item h="1" x="51"/>
        <item h="1" x="34"/>
        <item h="1" x="70"/>
        <item h="1" x="24"/>
        <item h="1" x="8"/>
        <item h="1" x="22"/>
        <item h="1" x="37"/>
        <item h="1" x="61"/>
        <item x="55"/>
        <item h="1" x="25"/>
        <item h="1" x="65"/>
        <item x="18"/>
        <item h="1" x="67"/>
        <item h="1" x="19"/>
        <item h="1" x="42"/>
        <item h="1" x="45"/>
        <item h="1" x="39"/>
        <item h="1" x="59"/>
        <item h="1" x="41"/>
        <item t="default"/>
      </items>
      <autoSortScope>
        <pivotArea dataOnly="0" outline="0" fieldPosition="0">
          <references count="1">
            <reference field="4294967294" count="1" selected="0">
              <x v="0"/>
            </reference>
          </references>
        </pivotArea>
      </autoSortScope>
    </pivotField>
    <pivotField showAll="0">
      <items count="190">
        <item x="165"/>
        <item x="106"/>
        <item x="28"/>
        <item x="163"/>
        <item x="135"/>
        <item x="18"/>
        <item x="31"/>
        <item x="125"/>
        <item x="100"/>
        <item x="180"/>
        <item x="48"/>
        <item x="4"/>
        <item x="128"/>
        <item x="155"/>
        <item x="43"/>
        <item x="53"/>
        <item x="138"/>
        <item x="27"/>
        <item x="114"/>
        <item x="119"/>
        <item x="124"/>
        <item x="90"/>
        <item x="159"/>
        <item x="186"/>
        <item x="95"/>
        <item x="107"/>
        <item x="161"/>
        <item x="58"/>
        <item x="118"/>
        <item x="5"/>
        <item x="147"/>
        <item x="175"/>
        <item x="88"/>
        <item x="174"/>
        <item x="115"/>
        <item x="42"/>
        <item x="62"/>
        <item x="29"/>
        <item x="76"/>
        <item x="44"/>
        <item x="168"/>
        <item x="74"/>
        <item x="35"/>
        <item x="19"/>
        <item x="36"/>
        <item x="50"/>
        <item x="117"/>
        <item x="25"/>
        <item x="54"/>
        <item x="181"/>
        <item x="75"/>
        <item x="182"/>
        <item x="8"/>
        <item x="188"/>
        <item x="85"/>
        <item x="26"/>
        <item x="91"/>
        <item x="80"/>
        <item x="77"/>
        <item x="156"/>
        <item x="131"/>
        <item x="104"/>
        <item x="152"/>
        <item x="177"/>
        <item x="94"/>
        <item x="20"/>
        <item x="108"/>
        <item x="55"/>
        <item x="105"/>
        <item x="101"/>
        <item x="79"/>
        <item x="162"/>
        <item x="59"/>
        <item x="158"/>
        <item x="183"/>
        <item x="121"/>
        <item x="109"/>
        <item x="81"/>
        <item x="169"/>
        <item x="61"/>
        <item x="86"/>
        <item x="129"/>
        <item x="6"/>
        <item x="154"/>
        <item x="3"/>
        <item x="99"/>
        <item x="140"/>
        <item x="96"/>
        <item x="173"/>
        <item x="149"/>
        <item x="160"/>
        <item x="51"/>
        <item x="116"/>
        <item x="63"/>
        <item x="39"/>
        <item x="102"/>
        <item x="187"/>
        <item x="123"/>
        <item x="141"/>
        <item x="17"/>
        <item x="133"/>
        <item x="32"/>
        <item x="166"/>
        <item x="93"/>
        <item x="171"/>
        <item x="84"/>
        <item x="142"/>
        <item x="7"/>
        <item x="146"/>
        <item x="66"/>
        <item x="82"/>
        <item x="184"/>
        <item x="13"/>
        <item x="38"/>
        <item x="60"/>
        <item x="139"/>
        <item x="130"/>
        <item x="127"/>
        <item x="69"/>
        <item x="40"/>
        <item x="2"/>
        <item x="97"/>
        <item x="71"/>
        <item x="78"/>
        <item x="150"/>
        <item x="37"/>
        <item x="46"/>
        <item x="143"/>
        <item x="134"/>
        <item x="41"/>
        <item x="126"/>
        <item x="120"/>
        <item x="151"/>
        <item x="22"/>
        <item x="137"/>
        <item x="132"/>
        <item x="33"/>
        <item x="57"/>
        <item x="110"/>
        <item x="83"/>
        <item x="10"/>
        <item x="172"/>
        <item x="16"/>
        <item x="1"/>
        <item x="111"/>
        <item x="15"/>
        <item x="178"/>
        <item x="144"/>
        <item x="176"/>
        <item x="47"/>
        <item x="68"/>
        <item x="136"/>
        <item x="21"/>
        <item x="185"/>
        <item x="98"/>
        <item x="67"/>
        <item x="64"/>
        <item x="167"/>
        <item x="113"/>
        <item x="103"/>
        <item x="45"/>
        <item x="70"/>
        <item x="11"/>
        <item x="24"/>
        <item x="65"/>
        <item x="122"/>
        <item x="170"/>
        <item x="145"/>
        <item x="72"/>
        <item x="49"/>
        <item x="9"/>
        <item x="52"/>
        <item x="56"/>
        <item x="87"/>
        <item x="112"/>
        <item x="34"/>
        <item x="0"/>
        <item x="157"/>
        <item x="14"/>
        <item x="179"/>
        <item x="164"/>
        <item x="30"/>
        <item x="73"/>
        <item x="92"/>
        <item x="89"/>
        <item x="23"/>
        <item x="12"/>
        <item x="153"/>
        <item x="148"/>
        <item t="default"/>
      </items>
    </pivotField>
    <pivotField showAll="0"/>
    <pivotField showAll="0">
      <items count="42">
        <item x="29"/>
        <item x="17"/>
        <item x="30"/>
        <item x="7"/>
        <item x="32"/>
        <item x="16"/>
        <item x="27"/>
        <item x="26"/>
        <item x="12"/>
        <item x="11"/>
        <item x="14"/>
        <item x="38"/>
        <item x="9"/>
        <item x="22"/>
        <item x="6"/>
        <item x="1"/>
        <item x="39"/>
        <item x="40"/>
        <item x="4"/>
        <item x="5"/>
        <item x="35"/>
        <item x="3"/>
        <item x="19"/>
        <item x="10"/>
        <item x="13"/>
        <item x="15"/>
        <item x="24"/>
        <item x="18"/>
        <item x="8"/>
        <item x="33"/>
        <item x="2"/>
        <item x="36"/>
        <item x="23"/>
        <item x="28"/>
        <item x="25"/>
        <item x="34"/>
        <item x="21"/>
        <item x="37"/>
        <item x="31"/>
        <item x="0"/>
        <item x="20"/>
        <item t="default"/>
      </items>
    </pivotField>
    <pivotField showAll="0"/>
    <pivotField numFmtId="164" showAll="0"/>
    <pivotField showAll="0"/>
    <pivotField dataField="1" numFmtId="1" showAll="0"/>
  </pivotFields>
  <rowFields count="1">
    <field x="5"/>
  </rowFields>
  <rowItems count="9">
    <i>
      <x v="8"/>
    </i>
    <i>
      <x v="29"/>
    </i>
    <i>
      <x v="64"/>
    </i>
    <i>
      <x v="16"/>
    </i>
    <i>
      <x v="7"/>
    </i>
    <i>
      <x v="47"/>
    </i>
    <i>
      <x v="67"/>
    </i>
    <i>
      <x v="36"/>
    </i>
    <i t="grand">
      <x/>
    </i>
  </rowItems>
  <colItems count="1">
    <i/>
  </colItems>
  <dataFields count="1">
    <dataField name="Sum of Digital_Usage_Hours" fld="12" baseField="0" baseItem="0" numFmtId="1"/>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B068C2-BFE9-424A-B1A9-23B0D9A97C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3">
    <pivotField dataField="1" showAll="0"/>
    <pivotField showAll="0"/>
    <pivotField showAll="0">
      <items count="3">
        <item x="1"/>
        <item x="0"/>
        <item t="default"/>
      </items>
    </pivotField>
    <pivotField showAll="0">
      <items count="7">
        <item x="3"/>
        <item x="5"/>
        <item x="1"/>
        <item x="2"/>
        <item x="4"/>
        <item x="0"/>
        <item t="default"/>
      </items>
    </pivotField>
    <pivotField showAll="0">
      <items count="5">
        <item x="2"/>
        <item x="3"/>
        <item x="1"/>
        <item x="0"/>
        <item t="default"/>
      </items>
    </pivotField>
    <pivotField showAll="0"/>
    <pivotField showAll="0"/>
    <pivotField dataField="1" showAll="0"/>
    <pivotField dataField="1" showAll="0"/>
    <pivotField dataField="1" showAll="0"/>
    <pivotField dataField="1" numFmtId="164" showAll="0"/>
    <pivotField showAll="0"/>
    <pivotField dataField="1" showAll="0"/>
  </pivotFields>
  <rowItems count="1">
    <i/>
  </rowItems>
  <colFields count="1">
    <field x="-2"/>
  </colFields>
  <colItems count="6">
    <i>
      <x/>
    </i>
    <i i="1">
      <x v="1"/>
    </i>
    <i i="2">
      <x v="2"/>
    </i>
    <i i="3">
      <x v="3"/>
    </i>
    <i i="4">
      <x v="4"/>
    </i>
    <i i="5">
      <x v="5"/>
    </i>
  </colItems>
  <dataFields count="6">
    <dataField name="Count of Patron_ID" fld="0" subtotal="count" baseField="0" baseItem="0"/>
    <dataField name="Average of Avg_Borrow_Days" fld="9" subtotal="average" baseField="0" baseItem="1" numFmtId="2"/>
    <dataField name="Average of Satisfaction_Score" fld="7" subtotal="average" baseField="0" baseItem="1" numFmtId="2"/>
    <dataField name="Sum of Books_Borrowed" fld="8" baseField="0" baseItem="0"/>
    <dataField name="Sum of Fines_Paid_NGN" fld="10" baseField="0" baseItem="0" numFmtId="164"/>
    <dataField name="Average of Digital_Usage_Hours" fld="12" subtotal="average" baseField="0" baseItem="5" numFmtId="2"/>
  </dataFields>
  <formats count="3">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3E8A3111-1063-4C52-9C9F-8C43597A68B5}" sourceName="Membership_Type">
  <pivotTables>
    <pivotTable tabId="6" name="PivotTable8"/>
    <pivotTable tabId="2" name="PivotTable1"/>
    <pivotTable tabId="6" name="PivotTable10"/>
    <pivotTable tabId="6" name="PivotTable11"/>
    <pivotTable tabId="6" name="PivotTable9"/>
  </pivotTables>
  <data>
    <tabular pivotCacheId="1130659112">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BEF3FF0-803C-478E-BB1F-6E410B5216BE}" sourceName="Gender">
  <pivotTables>
    <pivotTable tabId="6" name="PivotTable9"/>
    <pivotTable tabId="2" name="PivotTable1"/>
    <pivotTable tabId="6" name="PivotTable10"/>
    <pivotTable tabId="6" name="PivotTable11"/>
    <pivotTable tabId="6" name="PivotTable8"/>
  </pivotTables>
  <data>
    <tabular pivotCacheId="113065911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52DFB6A-273F-4EB7-992E-81D19D20FDCF}" sourceName="City">
  <pivotTables>
    <pivotTable tabId="6" name="PivotTable9"/>
    <pivotTable tabId="2" name="PivotTable1"/>
    <pivotTable tabId="6" name="PivotTable10"/>
    <pivotTable tabId="6" name="PivotTable11"/>
    <pivotTable tabId="6" name="PivotTable8"/>
  </pivotTables>
  <data>
    <tabular pivotCacheId="1130659112">
      <items count="6">
        <i x="3" s="1"/>
        <i x="5" s="1"/>
        <i x="1"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ship_Type" xr10:uid="{380D7E8E-1F1B-4BA4-92C3-758F317BF7F0}" cache="Slicer_Membership_Type" caption="Membership_Type" rowHeight="257175"/>
  <slicer name="Gender" xr10:uid="{E0C1488E-C704-4D4D-B19C-4F78246B507C}" cache="Slicer_Gender" caption="Gender" rowHeight="257175"/>
  <slicer name="City" xr10:uid="{95A4914A-5ED1-42EB-90E0-479CA056110B}" cache="Slicer_City" caption="Cit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ship_Type 1" xr10:uid="{CC6613A4-3E05-4C6F-9D32-D0277A2797B6}" cache="Slicer_Membership_Type" caption="Membership_Type" style="SlicerStyleDark4" rowHeight="257175"/>
  <slicer name="Gender 1" xr10:uid="{D7F7A4FF-F7A6-4CBE-B3FB-1D2FB378F935}" cache="Slicer_Gender" caption="Gender" style="SlicerStyleDark4" rowHeight="257175"/>
  <slicer name="City 1" xr10:uid="{35A4F73C-9339-4FAF-8956-06AA626ACC0A}" cache="Slicer_City" caption="City"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E53AF3-D5C3-4D99-9928-837DFCB86A55}" name="Table1" displayName="Table1" ref="A1:M201" totalsRowShown="0">
  <autoFilter ref="A1:M201" xr:uid="{31E53AF3-D5C3-4D99-9928-837DFCB86A55}"/>
  <tableColumns count="13">
    <tableColumn id="1" xr3:uid="{5D31E98F-4F46-44E5-8F19-1187723A9EE3}" name="Patron_ID"/>
    <tableColumn id="2" xr3:uid="{D51EEB97-F764-411E-A7FB-2AA0ADF1ED15}" name="Age"/>
    <tableColumn id="3" xr3:uid="{48CD0D4C-5B6D-40DC-8265-B990A9C669EC}" name="Gender"/>
    <tableColumn id="4" xr3:uid="{716C8609-64D0-481A-8245-D07993331788}" name="City"/>
    <tableColumn id="5" xr3:uid="{BDD9B7DE-98AD-4845-A4AB-94309F95FCA5}" name="Membership_Type"/>
    <tableColumn id="13" xr3:uid="{F2E94BBD-5C80-4FEE-B1AF-2ECF7E49C05D}" name="Membership Start Date" dataDxfId="17">
      <calculatedColumnFormula>TEXT(Table1[[#This Row],[Membership_Start_Date2]], "ddd mm")</calculatedColumnFormula>
    </tableColumn>
    <tableColumn id="6" xr3:uid="{7085437F-5E25-4C19-B8A9-F2F0A942708C}" name="Membership_Start_Date2"/>
    <tableColumn id="7" xr3:uid="{951B66D3-E1E3-4880-AD47-BCDAB90CA29F}" name="Satisfaction_Score"/>
    <tableColumn id="8" xr3:uid="{40EA6E75-B008-4135-9563-F83E272B29CF}" name="Books_Borrowed"/>
    <tableColumn id="9" xr3:uid="{FF14FBDB-A525-4812-A2C3-8FEA923C8430}" name="Avg_Borrow_Days"/>
    <tableColumn id="10" xr3:uid="{DCBE23D4-72B6-478A-A572-E9CA788BA37D}" name="Fines_Paid_NGN" dataDxfId="16"/>
    <tableColumn id="11" xr3:uid="{455CFD61-05C5-4D85-8059-A94168B07CF1}" name="Event_Attendance"/>
    <tableColumn id="12" xr3:uid="{9B4024DB-2282-4EB4-A1A2-1735E3BA2DAC}" name="Digital_Usage_Hours"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F88FC-274E-42C0-A871-E66B0B6B2B3F}">
  <dimension ref="A1:N201"/>
  <sheetViews>
    <sheetView workbookViewId="0">
      <selection activeCell="O1" sqref="O1"/>
    </sheetView>
  </sheetViews>
  <sheetFormatPr defaultRowHeight="15" x14ac:dyDescent="0.25"/>
  <cols>
    <col min="1" max="1" width="11.85546875" customWidth="1"/>
    <col min="2" max="2" width="9.85546875" customWidth="1"/>
    <col min="4" max="5" width="19.5703125" customWidth="1"/>
    <col min="6" max="6" width="24.7109375" customWidth="1"/>
    <col min="7" max="7" width="19.85546875" customWidth="1"/>
    <col min="8" max="8" width="18" customWidth="1"/>
    <col min="9" max="9" width="18.7109375" customWidth="1"/>
    <col min="10" max="10" width="17.85546875" customWidth="1"/>
    <col min="11" max="11" width="19.42578125" customWidth="1"/>
    <col min="12" max="12" width="21.5703125" customWidth="1"/>
    <col min="13" max="13" width="9.140625" style="5"/>
  </cols>
  <sheetData>
    <row r="1" spans="1:14" x14ac:dyDescent="0.25">
      <c r="A1" t="s">
        <v>0</v>
      </c>
      <c r="B1" t="s">
        <v>1</v>
      </c>
      <c r="C1" t="s">
        <v>2</v>
      </c>
      <c r="D1" t="s">
        <v>3</v>
      </c>
      <c r="E1" t="s">
        <v>4</v>
      </c>
      <c r="F1" t="s">
        <v>413</v>
      </c>
      <c r="G1" t="s">
        <v>412</v>
      </c>
      <c r="H1" t="s">
        <v>5</v>
      </c>
      <c r="I1" t="s">
        <v>6</v>
      </c>
      <c r="J1" t="s">
        <v>7</v>
      </c>
      <c r="K1" t="s">
        <v>8</v>
      </c>
      <c r="L1" t="s">
        <v>9</v>
      </c>
      <c r="M1" s="5" t="s">
        <v>10</v>
      </c>
    </row>
    <row r="2" spans="1:14" x14ac:dyDescent="0.25">
      <c r="A2" t="s">
        <v>11</v>
      </c>
      <c r="B2">
        <v>59</v>
      </c>
      <c r="C2" t="s">
        <v>12</v>
      </c>
      <c r="D2" t="s">
        <v>13</v>
      </c>
      <c r="E2" t="s">
        <v>14</v>
      </c>
      <c r="F2" t="str">
        <f>TEXT(Table1[[#This Row],[Membership_Start_Date2]], "ddd mm")</f>
        <v>Fri 11</v>
      </c>
      <c r="G2" t="s">
        <v>15</v>
      </c>
      <c r="H2">
        <v>5</v>
      </c>
      <c r="I2">
        <v>39</v>
      </c>
      <c r="J2">
        <v>11</v>
      </c>
      <c r="K2" s="1">
        <v>4948</v>
      </c>
      <c r="L2">
        <v>6</v>
      </c>
      <c r="M2" s="5">
        <v>36.9</v>
      </c>
      <c r="N2" s="4"/>
    </row>
    <row r="3" spans="1:14" x14ac:dyDescent="0.25">
      <c r="A3" t="s">
        <v>16</v>
      </c>
      <c r="B3">
        <v>32</v>
      </c>
      <c r="C3" t="s">
        <v>17</v>
      </c>
      <c r="D3" t="s">
        <v>18</v>
      </c>
      <c r="E3" t="s">
        <v>14</v>
      </c>
      <c r="F3" t="str">
        <f>TEXT(Table1[[#This Row],[Membership_Start_Date2]], "ddd mm")</f>
        <v>Thu 05</v>
      </c>
      <c r="G3" t="s">
        <v>19</v>
      </c>
      <c r="H3">
        <v>4</v>
      </c>
      <c r="I3">
        <v>15</v>
      </c>
      <c r="J3">
        <v>28</v>
      </c>
      <c r="K3" s="1">
        <v>0</v>
      </c>
      <c r="L3">
        <v>13</v>
      </c>
      <c r="M3" s="5">
        <v>1.3</v>
      </c>
    </row>
    <row r="4" spans="1:14" x14ac:dyDescent="0.25">
      <c r="A4" t="s">
        <v>20</v>
      </c>
      <c r="B4">
        <v>15</v>
      </c>
      <c r="C4" t="s">
        <v>12</v>
      </c>
      <c r="D4" t="s">
        <v>21</v>
      </c>
      <c r="E4" t="s">
        <v>22</v>
      </c>
      <c r="F4" t="str">
        <f>TEXT(Table1[[#This Row],[Membership_Start_Date2]], "ddd mm")</f>
        <v>Mon 10</v>
      </c>
      <c r="G4" t="s">
        <v>23</v>
      </c>
      <c r="H4">
        <v>3</v>
      </c>
      <c r="I4">
        <v>30</v>
      </c>
      <c r="J4">
        <v>26</v>
      </c>
      <c r="K4" s="1">
        <v>0</v>
      </c>
      <c r="L4">
        <v>14</v>
      </c>
      <c r="M4" s="5">
        <v>21.8</v>
      </c>
    </row>
    <row r="5" spans="1:14" x14ac:dyDescent="0.25">
      <c r="A5" t="s">
        <v>24</v>
      </c>
      <c r="B5">
        <v>35</v>
      </c>
      <c r="C5" t="s">
        <v>17</v>
      </c>
      <c r="D5" t="s">
        <v>13</v>
      </c>
      <c r="E5" t="s">
        <v>25</v>
      </c>
      <c r="F5" t="str">
        <f>TEXT(Table1[[#This Row],[Membership_Start_Date2]], "ddd mm")</f>
        <v>Fri 02</v>
      </c>
      <c r="G5" t="s">
        <v>26</v>
      </c>
      <c r="H5">
        <v>6</v>
      </c>
      <c r="I5">
        <v>21</v>
      </c>
      <c r="J5">
        <v>25</v>
      </c>
      <c r="K5" s="1">
        <v>0</v>
      </c>
      <c r="L5">
        <v>7</v>
      </c>
      <c r="M5" s="5">
        <v>28.4</v>
      </c>
    </row>
    <row r="6" spans="1:14" x14ac:dyDescent="0.25">
      <c r="A6" t="s">
        <v>27</v>
      </c>
      <c r="B6">
        <v>49</v>
      </c>
      <c r="C6" t="s">
        <v>17</v>
      </c>
      <c r="D6" t="s">
        <v>13</v>
      </c>
      <c r="E6" t="s">
        <v>22</v>
      </c>
      <c r="F6" t="str">
        <f>TEXT(Table1[[#This Row],[Membership_Start_Date2]], "ddd mm")</f>
        <v>Sun 05</v>
      </c>
      <c r="G6" t="s">
        <v>28</v>
      </c>
      <c r="H6">
        <v>5</v>
      </c>
      <c r="I6">
        <v>18</v>
      </c>
      <c r="J6">
        <v>17</v>
      </c>
      <c r="K6" s="1">
        <v>1514</v>
      </c>
      <c r="L6">
        <v>6</v>
      </c>
      <c r="M6" s="5">
        <v>32</v>
      </c>
    </row>
    <row r="7" spans="1:14" x14ac:dyDescent="0.25">
      <c r="A7" t="s">
        <v>29</v>
      </c>
      <c r="B7">
        <v>44</v>
      </c>
      <c r="C7" t="s">
        <v>17</v>
      </c>
      <c r="D7" t="s">
        <v>30</v>
      </c>
      <c r="E7" t="s">
        <v>14</v>
      </c>
      <c r="F7" t="str">
        <f>TEXT(Table1[[#This Row],[Membership_Start_Date2]], "ddd mm")</f>
        <v>Sun 11</v>
      </c>
      <c r="G7" t="s">
        <v>31</v>
      </c>
      <c r="H7">
        <v>7</v>
      </c>
      <c r="I7">
        <v>19</v>
      </c>
      <c r="J7">
        <v>27</v>
      </c>
      <c r="K7" s="1">
        <v>4836</v>
      </c>
      <c r="L7">
        <v>8</v>
      </c>
      <c r="M7" s="5">
        <v>24</v>
      </c>
    </row>
    <row r="8" spans="1:14" x14ac:dyDescent="0.25">
      <c r="A8" t="s">
        <v>32</v>
      </c>
      <c r="B8">
        <v>68</v>
      </c>
      <c r="C8" t="s">
        <v>12</v>
      </c>
      <c r="D8" t="s">
        <v>30</v>
      </c>
      <c r="E8" t="s">
        <v>33</v>
      </c>
      <c r="F8" t="str">
        <f>TEXT(Table1[[#This Row],[Membership_Start_Date2]], "ddd mm")</f>
        <v>Sat 02</v>
      </c>
      <c r="G8" t="s">
        <v>34</v>
      </c>
      <c r="H8">
        <v>1</v>
      </c>
      <c r="I8">
        <v>14</v>
      </c>
      <c r="J8">
        <v>15</v>
      </c>
      <c r="K8" s="1">
        <v>1236</v>
      </c>
      <c r="L8">
        <v>10</v>
      </c>
      <c r="M8" s="5">
        <v>48.3</v>
      </c>
    </row>
    <row r="9" spans="1:14" x14ac:dyDescent="0.25">
      <c r="A9" t="s">
        <v>35</v>
      </c>
      <c r="B9">
        <v>43</v>
      </c>
      <c r="C9" t="s">
        <v>12</v>
      </c>
      <c r="D9" t="s">
        <v>21</v>
      </c>
      <c r="E9" t="s">
        <v>25</v>
      </c>
      <c r="F9" t="str">
        <f>TEXT(Table1[[#This Row],[Membership_Start_Date2]], "ddd mm")</f>
        <v>Thu 07</v>
      </c>
      <c r="G9" t="s">
        <v>36</v>
      </c>
      <c r="H9">
        <v>3</v>
      </c>
      <c r="I9">
        <v>3</v>
      </c>
      <c r="J9">
        <v>12</v>
      </c>
      <c r="K9" s="1">
        <v>2828</v>
      </c>
      <c r="L9">
        <v>14</v>
      </c>
      <c r="M9" s="5">
        <v>17.399999999999999</v>
      </c>
    </row>
    <row r="10" spans="1:14" x14ac:dyDescent="0.25">
      <c r="A10" t="s">
        <v>37</v>
      </c>
      <c r="B10">
        <v>65</v>
      </c>
      <c r="C10" t="s">
        <v>12</v>
      </c>
      <c r="D10" t="s">
        <v>38</v>
      </c>
      <c r="E10" t="s">
        <v>22</v>
      </c>
      <c r="F10" t="str">
        <f>TEXT(Table1[[#This Row],[Membership_Start_Date2]], "ddd mm")</f>
        <v>Tue 08</v>
      </c>
      <c r="G10" t="s">
        <v>39</v>
      </c>
      <c r="H10">
        <v>4</v>
      </c>
      <c r="I10">
        <v>19</v>
      </c>
      <c r="J10">
        <v>14</v>
      </c>
      <c r="K10" s="1">
        <v>4306</v>
      </c>
      <c r="L10">
        <v>9</v>
      </c>
      <c r="M10" s="5">
        <v>43.5</v>
      </c>
    </row>
    <row r="11" spans="1:14" x14ac:dyDescent="0.25">
      <c r="A11" t="s">
        <v>40</v>
      </c>
      <c r="B11">
        <v>46</v>
      </c>
      <c r="C11" t="s">
        <v>17</v>
      </c>
      <c r="D11" t="s">
        <v>41</v>
      </c>
      <c r="E11" t="s">
        <v>25</v>
      </c>
      <c r="F11" t="str">
        <f>TEXT(Table1[[#This Row],[Membership_Start_Date2]], "ddd mm")</f>
        <v>Sun 10</v>
      </c>
      <c r="G11" t="s">
        <v>42</v>
      </c>
      <c r="H11">
        <v>6</v>
      </c>
      <c r="I11">
        <v>3</v>
      </c>
      <c r="J11">
        <v>8</v>
      </c>
      <c r="K11" s="1">
        <v>4623</v>
      </c>
      <c r="L11">
        <v>6</v>
      </c>
      <c r="M11" s="5">
        <v>45.5</v>
      </c>
    </row>
    <row r="12" spans="1:14" x14ac:dyDescent="0.25">
      <c r="A12" t="s">
        <v>43</v>
      </c>
      <c r="B12">
        <v>19</v>
      </c>
      <c r="C12" t="s">
        <v>17</v>
      </c>
      <c r="D12" t="s">
        <v>38</v>
      </c>
      <c r="E12" t="s">
        <v>22</v>
      </c>
      <c r="F12" t="str">
        <f>TEXT(Table1[[#This Row],[Membership_Start_Date2]], "ddd mm")</f>
        <v>Fri 03</v>
      </c>
      <c r="G12" t="s">
        <v>44</v>
      </c>
      <c r="H12">
        <v>2</v>
      </c>
      <c r="I12">
        <v>28</v>
      </c>
      <c r="J12">
        <v>18</v>
      </c>
      <c r="K12" s="1">
        <v>0</v>
      </c>
      <c r="L12">
        <v>0</v>
      </c>
      <c r="M12" s="5">
        <v>44.4</v>
      </c>
    </row>
    <row r="13" spans="1:14" x14ac:dyDescent="0.25">
      <c r="A13" t="s">
        <v>45</v>
      </c>
      <c r="B13">
        <v>34</v>
      </c>
      <c r="C13" t="s">
        <v>12</v>
      </c>
      <c r="D13" t="s">
        <v>13</v>
      </c>
      <c r="E13" t="s">
        <v>33</v>
      </c>
      <c r="F13" t="str">
        <f>TEXT(Table1[[#This Row],[Membership_Start_Date2]], "ddd mm")</f>
        <v>Sat 08</v>
      </c>
      <c r="G13" t="s">
        <v>46</v>
      </c>
      <c r="H13">
        <v>8</v>
      </c>
      <c r="I13">
        <v>12</v>
      </c>
      <c r="J13">
        <v>13</v>
      </c>
      <c r="K13" s="1">
        <v>0</v>
      </c>
      <c r="L13">
        <v>0</v>
      </c>
      <c r="M13" s="5">
        <v>26.1</v>
      </c>
    </row>
    <row r="14" spans="1:14" x14ac:dyDescent="0.25">
      <c r="A14" t="s">
        <v>47</v>
      </c>
      <c r="B14">
        <v>69</v>
      </c>
      <c r="C14" t="s">
        <v>12</v>
      </c>
      <c r="D14" t="s">
        <v>41</v>
      </c>
      <c r="E14" t="s">
        <v>25</v>
      </c>
      <c r="F14" t="str">
        <f>TEXT(Table1[[#This Row],[Membership_Start_Date2]], "ddd mm")</f>
        <v>Sat 01</v>
      </c>
      <c r="G14" t="s">
        <v>48</v>
      </c>
      <c r="H14">
        <v>4</v>
      </c>
      <c r="I14">
        <v>23</v>
      </c>
      <c r="J14">
        <v>14</v>
      </c>
      <c r="K14" s="1">
        <v>2111</v>
      </c>
      <c r="L14">
        <v>3</v>
      </c>
      <c r="M14" s="5">
        <v>5.7</v>
      </c>
    </row>
    <row r="15" spans="1:14" x14ac:dyDescent="0.25">
      <c r="A15" t="s">
        <v>49</v>
      </c>
      <c r="B15">
        <v>34</v>
      </c>
      <c r="C15" t="s">
        <v>12</v>
      </c>
      <c r="D15" t="s">
        <v>18</v>
      </c>
      <c r="E15" t="s">
        <v>25</v>
      </c>
      <c r="F15" t="str">
        <f>TEXT(Table1[[#This Row],[Membership_Start_Date2]], "ddd mm")</f>
        <v>Mon 08</v>
      </c>
      <c r="G15" t="s">
        <v>50</v>
      </c>
      <c r="H15">
        <v>6</v>
      </c>
      <c r="I15">
        <v>9</v>
      </c>
      <c r="J15">
        <v>5</v>
      </c>
      <c r="K15" s="1">
        <v>0</v>
      </c>
      <c r="L15">
        <v>11</v>
      </c>
      <c r="M15" s="5">
        <v>31.4</v>
      </c>
    </row>
    <row r="16" spans="1:14" x14ac:dyDescent="0.25">
      <c r="A16" t="s">
        <v>51</v>
      </c>
      <c r="B16">
        <v>53</v>
      </c>
      <c r="C16" t="s">
        <v>17</v>
      </c>
      <c r="D16" t="s">
        <v>38</v>
      </c>
      <c r="E16" t="s">
        <v>14</v>
      </c>
      <c r="F16" t="str">
        <f>TEXT(Table1[[#This Row],[Membership_Start_Date2]], "ddd mm")</f>
        <v>Mon 11</v>
      </c>
      <c r="G16" t="s">
        <v>52</v>
      </c>
      <c r="H16">
        <v>10</v>
      </c>
      <c r="I16">
        <v>3</v>
      </c>
      <c r="J16">
        <v>13</v>
      </c>
      <c r="K16" s="1">
        <v>0</v>
      </c>
      <c r="L16">
        <v>10</v>
      </c>
      <c r="M16" s="5">
        <v>33.1</v>
      </c>
    </row>
    <row r="17" spans="1:13" x14ac:dyDescent="0.25">
      <c r="A17" t="s">
        <v>53</v>
      </c>
      <c r="B17">
        <v>48</v>
      </c>
      <c r="C17" t="s">
        <v>17</v>
      </c>
      <c r="D17" t="s">
        <v>30</v>
      </c>
      <c r="E17" t="s">
        <v>14</v>
      </c>
      <c r="F17" t="str">
        <f>TEXT(Table1[[#This Row],[Membership_Start_Date2]], "ddd mm")</f>
        <v>Sun 05</v>
      </c>
      <c r="G17" t="s">
        <v>54</v>
      </c>
      <c r="H17">
        <v>5</v>
      </c>
      <c r="I17">
        <v>8</v>
      </c>
      <c r="J17">
        <v>4</v>
      </c>
      <c r="K17" s="1">
        <v>2877</v>
      </c>
      <c r="L17">
        <v>6</v>
      </c>
      <c r="M17" s="5">
        <v>8.1999999999999993</v>
      </c>
    </row>
    <row r="18" spans="1:13" x14ac:dyDescent="0.25">
      <c r="A18" t="s">
        <v>55</v>
      </c>
      <c r="B18">
        <v>29</v>
      </c>
      <c r="C18" t="s">
        <v>12</v>
      </c>
      <c r="D18" t="s">
        <v>13</v>
      </c>
      <c r="E18" t="s">
        <v>33</v>
      </c>
      <c r="F18" t="str">
        <f>TEXT(Table1[[#This Row],[Membership_Start_Date2]], "ddd mm")</f>
        <v>Fri 04</v>
      </c>
      <c r="G18" t="s">
        <v>56</v>
      </c>
      <c r="H18">
        <v>7</v>
      </c>
      <c r="I18">
        <v>8</v>
      </c>
      <c r="J18">
        <v>6</v>
      </c>
      <c r="K18" s="1">
        <v>0</v>
      </c>
      <c r="L18">
        <v>6</v>
      </c>
      <c r="M18" s="5">
        <v>31.3</v>
      </c>
    </row>
    <row r="19" spans="1:13" x14ac:dyDescent="0.25">
      <c r="A19" t="s">
        <v>57</v>
      </c>
      <c r="B19">
        <v>64</v>
      </c>
      <c r="C19" t="s">
        <v>12</v>
      </c>
      <c r="D19" t="s">
        <v>30</v>
      </c>
      <c r="E19" t="s">
        <v>25</v>
      </c>
      <c r="F19" t="str">
        <f>TEXT(Table1[[#This Row],[Membership_Start_Date2]], "ddd mm")</f>
        <v>Mon 05</v>
      </c>
      <c r="G19" t="s">
        <v>58</v>
      </c>
      <c r="H19">
        <v>8</v>
      </c>
      <c r="I19">
        <v>24</v>
      </c>
      <c r="J19">
        <v>11</v>
      </c>
      <c r="K19" s="1">
        <v>0</v>
      </c>
      <c r="L19">
        <v>6</v>
      </c>
      <c r="M19" s="5">
        <v>29.3</v>
      </c>
    </row>
    <row r="20" spans="1:13" x14ac:dyDescent="0.25">
      <c r="A20" t="s">
        <v>59</v>
      </c>
      <c r="B20">
        <v>27</v>
      </c>
      <c r="C20" t="s">
        <v>17</v>
      </c>
      <c r="D20" t="s">
        <v>30</v>
      </c>
      <c r="E20" t="s">
        <v>22</v>
      </c>
      <c r="F20" t="str">
        <f>TEXT(Table1[[#This Row],[Membership_Start_Date2]], "ddd mm")</f>
        <v>Mon 03</v>
      </c>
      <c r="G20" t="s">
        <v>60</v>
      </c>
      <c r="H20">
        <v>4</v>
      </c>
      <c r="I20">
        <v>39</v>
      </c>
      <c r="J20">
        <v>4</v>
      </c>
      <c r="K20" s="1">
        <v>0</v>
      </c>
      <c r="L20">
        <v>14</v>
      </c>
      <c r="M20" s="5">
        <v>45.7</v>
      </c>
    </row>
    <row r="21" spans="1:13" x14ac:dyDescent="0.25">
      <c r="A21" t="s">
        <v>61</v>
      </c>
      <c r="B21">
        <v>42</v>
      </c>
      <c r="C21" t="s">
        <v>12</v>
      </c>
      <c r="D21" t="s">
        <v>18</v>
      </c>
      <c r="E21" t="s">
        <v>33</v>
      </c>
      <c r="F21" t="str">
        <f>TEXT(Table1[[#This Row],[Membership_Start_Date2]], "ddd mm")</f>
        <v>Wed 03</v>
      </c>
      <c r="G21" t="s">
        <v>62</v>
      </c>
      <c r="H21">
        <v>10</v>
      </c>
      <c r="I21">
        <v>10</v>
      </c>
      <c r="J21">
        <v>5</v>
      </c>
      <c r="K21" s="1">
        <v>187</v>
      </c>
      <c r="L21">
        <v>1</v>
      </c>
      <c r="M21" s="5">
        <v>41.8</v>
      </c>
    </row>
    <row r="22" spans="1:13" x14ac:dyDescent="0.25">
      <c r="A22" t="s">
        <v>63</v>
      </c>
      <c r="B22">
        <v>64</v>
      </c>
      <c r="C22" t="s">
        <v>17</v>
      </c>
      <c r="D22" t="s">
        <v>21</v>
      </c>
      <c r="E22" t="s">
        <v>22</v>
      </c>
      <c r="F22" t="str">
        <f>TEXT(Table1[[#This Row],[Membership_Start_Date2]], "ddd mm")</f>
        <v>Fri 11</v>
      </c>
      <c r="G22" t="s">
        <v>64</v>
      </c>
      <c r="H22">
        <v>2</v>
      </c>
      <c r="I22">
        <v>25</v>
      </c>
      <c r="J22">
        <v>19</v>
      </c>
      <c r="K22" s="1">
        <v>0</v>
      </c>
      <c r="L22">
        <v>2</v>
      </c>
      <c r="M22" s="5">
        <v>9.3000000000000007</v>
      </c>
    </row>
    <row r="23" spans="1:13" x14ac:dyDescent="0.25">
      <c r="A23" t="s">
        <v>65</v>
      </c>
      <c r="B23">
        <v>61</v>
      </c>
      <c r="C23" t="s">
        <v>17</v>
      </c>
      <c r="D23" t="s">
        <v>30</v>
      </c>
      <c r="E23" t="s">
        <v>33</v>
      </c>
      <c r="F23" t="str">
        <f>TEXT(Table1[[#This Row],[Membership_Start_Date2]], "ddd mm")</f>
        <v>Wed 07</v>
      </c>
      <c r="G23" t="s">
        <v>66</v>
      </c>
      <c r="H23">
        <v>7</v>
      </c>
      <c r="I23">
        <v>9</v>
      </c>
      <c r="J23">
        <v>23</v>
      </c>
      <c r="K23" s="1">
        <v>2519</v>
      </c>
      <c r="L23">
        <v>15</v>
      </c>
      <c r="M23" s="5">
        <v>45.8</v>
      </c>
    </row>
    <row r="24" spans="1:13" x14ac:dyDescent="0.25">
      <c r="A24" t="s">
        <v>67</v>
      </c>
      <c r="B24">
        <v>27</v>
      </c>
      <c r="C24" t="s">
        <v>12</v>
      </c>
      <c r="D24" t="s">
        <v>38</v>
      </c>
      <c r="E24" t="s">
        <v>22</v>
      </c>
      <c r="F24" t="str">
        <f>TEXT(Table1[[#This Row],[Membership_Start_Date2]], "ddd mm")</f>
        <v>Mon 02</v>
      </c>
      <c r="G24" t="s">
        <v>68</v>
      </c>
      <c r="H24">
        <v>7</v>
      </c>
      <c r="I24">
        <v>39</v>
      </c>
      <c r="J24">
        <v>19</v>
      </c>
      <c r="K24" s="1">
        <v>0</v>
      </c>
      <c r="L24">
        <v>10</v>
      </c>
      <c r="M24" s="5">
        <v>8.3000000000000007</v>
      </c>
    </row>
    <row r="25" spans="1:13" x14ac:dyDescent="0.25">
      <c r="A25" t="s">
        <v>69</v>
      </c>
      <c r="B25">
        <v>62</v>
      </c>
      <c r="C25" t="s">
        <v>12</v>
      </c>
      <c r="D25" t="s">
        <v>18</v>
      </c>
      <c r="E25" t="s">
        <v>22</v>
      </c>
      <c r="F25" t="str">
        <f>TEXT(Table1[[#This Row],[Membership_Start_Date2]], "ddd mm")</f>
        <v>Fri 01</v>
      </c>
      <c r="G25" t="s">
        <v>70</v>
      </c>
      <c r="H25">
        <v>6</v>
      </c>
      <c r="I25">
        <v>5</v>
      </c>
      <c r="J25">
        <v>6</v>
      </c>
      <c r="K25" s="1">
        <v>3967</v>
      </c>
      <c r="L25">
        <v>5</v>
      </c>
      <c r="M25" s="5">
        <v>27.5</v>
      </c>
    </row>
    <row r="26" spans="1:13" x14ac:dyDescent="0.25">
      <c r="A26" t="s">
        <v>71</v>
      </c>
      <c r="B26">
        <v>37</v>
      </c>
      <c r="C26" t="s">
        <v>17</v>
      </c>
      <c r="D26" t="s">
        <v>30</v>
      </c>
      <c r="E26" t="s">
        <v>25</v>
      </c>
      <c r="F26" t="str">
        <f>TEXT(Table1[[#This Row],[Membership_Start_Date2]], "ddd mm")</f>
        <v>Tue 09</v>
      </c>
      <c r="G26" t="s">
        <v>72</v>
      </c>
      <c r="H26">
        <v>9</v>
      </c>
      <c r="I26">
        <v>25</v>
      </c>
      <c r="J26">
        <v>7</v>
      </c>
      <c r="K26" s="1">
        <v>0</v>
      </c>
      <c r="L26">
        <v>4</v>
      </c>
      <c r="M26" s="5">
        <v>42.9</v>
      </c>
    </row>
    <row r="27" spans="1:13" x14ac:dyDescent="0.25">
      <c r="A27" t="s">
        <v>73</v>
      </c>
      <c r="B27">
        <v>38</v>
      </c>
      <c r="C27" t="s">
        <v>17</v>
      </c>
      <c r="D27" t="s">
        <v>18</v>
      </c>
      <c r="E27" t="s">
        <v>33</v>
      </c>
      <c r="F27" t="str">
        <f>TEXT(Table1[[#This Row],[Membership_Start_Date2]], "ddd mm")</f>
        <v>Fri 05</v>
      </c>
      <c r="G27" t="s">
        <v>74</v>
      </c>
      <c r="H27">
        <v>1</v>
      </c>
      <c r="I27">
        <v>8</v>
      </c>
      <c r="J27">
        <v>30</v>
      </c>
      <c r="K27" s="1">
        <v>4564</v>
      </c>
      <c r="L27">
        <v>11</v>
      </c>
      <c r="M27" s="5">
        <v>36.9</v>
      </c>
    </row>
    <row r="28" spans="1:13" x14ac:dyDescent="0.25">
      <c r="A28" t="s">
        <v>75</v>
      </c>
      <c r="B28">
        <v>68</v>
      </c>
      <c r="C28" t="s">
        <v>12</v>
      </c>
      <c r="D28" t="s">
        <v>41</v>
      </c>
      <c r="E28" t="s">
        <v>33</v>
      </c>
      <c r="F28" t="str">
        <f>TEXT(Table1[[#This Row],[Membership_Start_Date2]], "ddd mm")</f>
        <v>Tue 08</v>
      </c>
      <c r="G28" t="s">
        <v>76</v>
      </c>
      <c r="H28">
        <v>3</v>
      </c>
      <c r="I28">
        <v>1</v>
      </c>
      <c r="J28">
        <v>14</v>
      </c>
      <c r="K28" s="1">
        <v>3468</v>
      </c>
      <c r="L28">
        <v>1</v>
      </c>
      <c r="M28" s="5">
        <v>50</v>
      </c>
    </row>
    <row r="29" spans="1:13" x14ac:dyDescent="0.25">
      <c r="A29" t="s">
        <v>77</v>
      </c>
      <c r="B29">
        <v>18</v>
      </c>
      <c r="C29" t="s">
        <v>17</v>
      </c>
      <c r="D29" t="s">
        <v>41</v>
      </c>
      <c r="E29" t="s">
        <v>33</v>
      </c>
      <c r="F29" t="str">
        <f>TEXT(Table1[[#This Row],[Membership_Start_Date2]], "ddd mm")</f>
        <v>Tue 07</v>
      </c>
      <c r="G29" t="s">
        <v>78</v>
      </c>
      <c r="H29">
        <v>5</v>
      </c>
      <c r="I29">
        <v>27</v>
      </c>
      <c r="J29">
        <v>7</v>
      </c>
      <c r="K29" s="1">
        <v>0</v>
      </c>
      <c r="L29">
        <v>4</v>
      </c>
      <c r="M29" s="5">
        <v>37.1</v>
      </c>
    </row>
    <row r="30" spans="1:13" x14ac:dyDescent="0.25">
      <c r="A30" t="s">
        <v>79</v>
      </c>
      <c r="B30">
        <v>25</v>
      </c>
      <c r="C30" t="s">
        <v>17</v>
      </c>
      <c r="D30" t="s">
        <v>21</v>
      </c>
      <c r="E30" t="s">
        <v>33</v>
      </c>
      <c r="F30" t="str">
        <f>TEXT(Table1[[#This Row],[Membership_Start_Date2]], "ddd mm")</f>
        <v>Wed 01</v>
      </c>
      <c r="G30" t="s">
        <v>80</v>
      </c>
      <c r="H30">
        <v>3</v>
      </c>
      <c r="I30">
        <v>24</v>
      </c>
      <c r="J30">
        <v>26</v>
      </c>
      <c r="K30" s="1">
        <v>3288</v>
      </c>
      <c r="L30">
        <v>15</v>
      </c>
      <c r="M30" s="5">
        <v>45.3</v>
      </c>
    </row>
    <row r="31" spans="1:13" x14ac:dyDescent="0.25">
      <c r="A31" t="s">
        <v>81</v>
      </c>
      <c r="B31">
        <v>40</v>
      </c>
      <c r="C31" t="s">
        <v>12</v>
      </c>
      <c r="D31" t="s">
        <v>21</v>
      </c>
      <c r="E31" t="s">
        <v>22</v>
      </c>
      <c r="F31" t="str">
        <f>TEXT(Table1[[#This Row],[Membership_Start_Date2]], "ddd mm")</f>
        <v>Sat 02</v>
      </c>
      <c r="G31" t="s">
        <v>34</v>
      </c>
      <c r="H31">
        <v>3</v>
      </c>
      <c r="I31">
        <v>15</v>
      </c>
      <c r="J31">
        <v>28</v>
      </c>
      <c r="K31" s="1">
        <v>2210</v>
      </c>
      <c r="L31">
        <v>14</v>
      </c>
      <c r="M31" s="5">
        <v>37.9</v>
      </c>
    </row>
    <row r="32" spans="1:13" x14ac:dyDescent="0.25">
      <c r="A32" t="s">
        <v>82</v>
      </c>
      <c r="B32">
        <v>30</v>
      </c>
      <c r="C32" t="s">
        <v>12</v>
      </c>
      <c r="D32" t="s">
        <v>13</v>
      </c>
      <c r="E32" t="s">
        <v>33</v>
      </c>
      <c r="F32" t="str">
        <f>TEXT(Table1[[#This Row],[Membership_Start_Date2]], "ddd mm")</f>
        <v>Wed 01</v>
      </c>
      <c r="G32" t="s">
        <v>83</v>
      </c>
      <c r="H32">
        <v>8</v>
      </c>
      <c r="I32">
        <v>22</v>
      </c>
      <c r="J32">
        <v>3</v>
      </c>
      <c r="K32" s="1">
        <v>3080</v>
      </c>
      <c r="L32">
        <v>14</v>
      </c>
      <c r="M32" s="5">
        <v>47</v>
      </c>
    </row>
    <row r="33" spans="1:13" x14ac:dyDescent="0.25">
      <c r="A33" t="s">
        <v>84</v>
      </c>
      <c r="B33">
        <v>39</v>
      </c>
      <c r="C33" t="s">
        <v>12</v>
      </c>
      <c r="D33" t="s">
        <v>21</v>
      </c>
      <c r="E33" t="s">
        <v>33</v>
      </c>
      <c r="F33" t="str">
        <f>TEXT(Table1[[#This Row],[Membership_Start_Date2]], "ddd mm")</f>
        <v>Mon 12</v>
      </c>
      <c r="G33" t="s">
        <v>85</v>
      </c>
      <c r="H33">
        <v>2</v>
      </c>
      <c r="I33">
        <v>40</v>
      </c>
      <c r="J33">
        <v>25</v>
      </c>
      <c r="K33" s="1">
        <v>4332</v>
      </c>
      <c r="L33">
        <v>9</v>
      </c>
      <c r="M33" s="5">
        <v>48.4</v>
      </c>
    </row>
    <row r="34" spans="1:13" x14ac:dyDescent="0.25">
      <c r="A34" t="s">
        <v>86</v>
      </c>
      <c r="B34">
        <v>31</v>
      </c>
      <c r="C34" t="s">
        <v>12</v>
      </c>
      <c r="D34" t="s">
        <v>21</v>
      </c>
      <c r="E34" t="s">
        <v>25</v>
      </c>
      <c r="F34" t="str">
        <f>TEXT(Table1[[#This Row],[Membership_Start_Date2]], "ddd mm")</f>
        <v>Mon 03</v>
      </c>
      <c r="G34" t="s">
        <v>87</v>
      </c>
      <c r="H34">
        <v>2</v>
      </c>
      <c r="I34">
        <v>30</v>
      </c>
      <c r="J34">
        <v>3</v>
      </c>
      <c r="K34" s="1">
        <v>0</v>
      </c>
      <c r="L34">
        <v>3</v>
      </c>
      <c r="M34" s="5">
        <v>16.2</v>
      </c>
    </row>
    <row r="35" spans="1:13" x14ac:dyDescent="0.25">
      <c r="A35" t="s">
        <v>88</v>
      </c>
      <c r="B35">
        <v>74</v>
      </c>
      <c r="C35" t="s">
        <v>12</v>
      </c>
      <c r="D35" t="s">
        <v>21</v>
      </c>
      <c r="E35" t="s">
        <v>22</v>
      </c>
      <c r="F35" t="str">
        <f>TEXT(Table1[[#This Row],[Membership_Start_Date2]], "ddd mm")</f>
        <v>Sun 06</v>
      </c>
      <c r="G35" t="s">
        <v>89</v>
      </c>
      <c r="H35">
        <v>10</v>
      </c>
      <c r="I35">
        <v>36</v>
      </c>
      <c r="J35">
        <v>18</v>
      </c>
      <c r="K35" s="1">
        <v>0</v>
      </c>
      <c r="L35">
        <v>0</v>
      </c>
      <c r="M35" s="5">
        <v>48.9</v>
      </c>
    </row>
    <row r="36" spans="1:13" x14ac:dyDescent="0.25">
      <c r="A36" t="s">
        <v>90</v>
      </c>
      <c r="B36">
        <v>68</v>
      </c>
      <c r="C36" t="s">
        <v>17</v>
      </c>
      <c r="D36" t="s">
        <v>30</v>
      </c>
      <c r="E36" t="s">
        <v>22</v>
      </c>
      <c r="F36" t="str">
        <f>TEXT(Table1[[#This Row],[Membership_Start_Date2]], "ddd mm")</f>
        <v>Sat 02</v>
      </c>
      <c r="G36" t="s">
        <v>91</v>
      </c>
      <c r="H36">
        <v>9</v>
      </c>
      <c r="I36">
        <v>8</v>
      </c>
      <c r="J36">
        <v>10</v>
      </c>
      <c r="K36" s="1">
        <v>0</v>
      </c>
      <c r="L36">
        <v>6</v>
      </c>
      <c r="M36" s="5">
        <v>21.9</v>
      </c>
    </row>
    <row r="37" spans="1:13" x14ac:dyDescent="0.25">
      <c r="A37" t="s">
        <v>92</v>
      </c>
      <c r="B37">
        <v>13</v>
      </c>
      <c r="C37" t="s">
        <v>12</v>
      </c>
      <c r="D37" t="s">
        <v>13</v>
      </c>
      <c r="E37" t="s">
        <v>25</v>
      </c>
      <c r="F37" t="str">
        <f>TEXT(Table1[[#This Row],[Membership_Start_Date2]], "ddd mm")</f>
        <v>Thu 11</v>
      </c>
      <c r="G37" t="s">
        <v>93</v>
      </c>
      <c r="H37">
        <v>4</v>
      </c>
      <c r="I37">
        <v>13</v>
      </c>
      <c r="J37">
        <v>15</v>
      </c>
      <c r="K37" s="1">
        <v>1677</v>
      </c>
      <c r="L37">
        <v>10</v>
      </c>
      <c r="M37" s="5">
        <v>4.8</v>
      </c>
    </row>
    <row r="38" spans="1:13" x14ac:dyDescent="0.25">
      <c r="A38" t="s">
        <v>94</v>
      </c>
      <c r="B38">
        <v>33</v>
      </c>
      <c r="C38" t="s">
        <v>17</v>
      </c>
      <c r="D38" t="s">
        <v>30</v>
      </c>
      <c r="E38" t="s">
        <v>22</v>
      </c>
      <c r="F38" t="str">
        <f>TEXT(Table1[[#This Row],[Membership_Start_Date2]], "ddd mm")</f>
        <v>Sat 03</v>
      </c>
      <c r="G38" t="s">
        <v>95</v>
      </c>
      <c r="H38">
        <v>2</v>
      </c>
      <c r="I38">
        <v>10</v>
      </c>
      <c r="J38">
        <v>28</v>
      </c>
      <c r="K38" s="1">
        <v>0</v>
      </c>
      <c r="L38">
        <v>14</v>
      </c>
      <c r="M38" s="5">
        <v>25</v>
      </c>
    </row>
    <row r="39" spans="1:13" x14ac:dyDescent="0.25">
      <c r="A39" t="s">
        <v>96</v>
      </c>
      <c r="B39">
        <v>71</v>
      </c>
      <c r="C39" t="s">
        <v>17</v>
      </c>
      <c r="D39" t="s">
        <v>38</v>
      </c>
      <c r="E39" t="s">
        <v>25</v>
      </c>
      <c r="F39" t="str">
        <f>TEXT(Table1[[#This Row],[Membership_Start_Date2]], "ddd mm")</f>
        <v>Sun 04</v>
      </c>
      <c r="G39" t="s">
        <v>97</v>
      </c>
      <c r="H39">
        <v>2</v>
      </c>
      <c r="I39">
        <v>22</v>
      </c>
      <c r="J39">
        <v>10</v>
      </c>
      <c r="K39" s="1">
        <v>1956</v>
      </c>
      <c r="L39">
        <v>12</v>
      </c>
      <c r="M39" s="5">
        <v>4.2</v>
      </c>
    </row>
    <row r="40" spans="1:13" x14ac:dyDescent="0.25">
      <c r="A40" t="s">
        <v>98</v>
      </c>
      <c r="B40">
        <v>64</v>
      </c>
      <c r="C40" t="s">
        <v>12</v>
      </c>
      <c r="D40" t="s">
        <v>38</v>
      </c>
      <c r="E40" t="s">
        <v>22</v>
      </c>
      <c r="F40" t="str">
        <f>TEXT(Table1[[#This Row],[Membership_Start_Date2]], "ddd mm")</f>
        <v>Fri 11</v>
      </c>
      <c r="G40" t="s">
        <v>99</v>
      </c>
      <c r="H40">
        <v>7</v>
      </c>
      <c r="I40">
        <v>32</v>
      </c>
      <c r="J40">
        <v>12</v>
      </c>
      <c r="K40" s="1">
        <v>3152</v>
      </c>
      <c r="L40">
        <v>2</v>
      </c>
      <c r="M40" s="5">
        <v>6.4</v>
      </c>
    </row>
    <row r="41" spans="1:13" x14ac:dyDescent="0.25">
      <c r="A41" t="s">
        <v>100</v>
      </c>
      <c r="B41">
        <v>30</v>
      </c>
      <c r="C41" t="s">
        <v>17</v>
      </c>
      <c r="D41" t="s">
        <v>38</v>
      </c>
      <c r="E41" t="s">
        <v>14</v>
      </c>
      <c r="F41" t="str">
        <f>TEXT(Table1[[#This Row],[Membership_Start_Date2]], "ddd mm")</f>
        <v>Thu 08</v>
      </c>
      <c r="G41" t="s">
        <v>101</v>
      </c>
      <c r="H41">
        <v>4</v>
      </c>
      <c r="I41">
        <v>3</v>
      </c>
      <c r="J41">
        <v>19</v>
      </c>
      <c r="K41" s="1">
        <v>0</v>
      </c>
      <c r="L41">
        <v>8</v>
      </c>
      <c r="M41" s="5">
        <v>23.1</v>
      </c>
    </row>
    <row r="42" spans="1:13" x14ac:dyDescent="0.25">
      <c r="A42" t="s">
        <v>102</v>
      </c>
      <c r="B42">
        <v>12</v>
      </c>
      <c r="C42" t="s">
        <v>17</v>
      </c>
      <c r="D42" t="s">
        <v>41</v>
      </c>
      <c r="E42" t="s">
        <v>25</v>
      </c>
      <c r="F42" t="str">
        <f>TEXT(Table1[[#This Row],[Membership_Start_Date2]], "ddd mm")</f>
        <v>Fri 04</v>
      </c>
      <c r="G42" t="s">
        <v>103</v>
      </c>
      <c r="H42">
        <v>5</v>
      </c>
      <c r="I42">
        <v>39</v>
      </c>
      <c r="J42">
        <v>23</v>
      </c>
      <c r="K42" s="1">
        <v>0</v>
      </c>
      <c r="L42">
        <v>7</v>
      </c>
      <c r="M42" s="5">
        <v>2</v>
      </c>
    </row>
    <row r="43" spans="1:13" x14ac:dyDescent="0.25">
      <c r="A43" t="s">
        <v>104</v>
      </c>
      <c r="B43">
        <v>58</v>
      </c>
      <c r="C43" t="s">
        <v>17</v>
      </c>
      <c r="D43" t="s">
        <v>21</v>
      </c>
      <c r="E43" t="s">
        <v>25</v>
      </c>
      <c r="F43" t="str">
        <f>TEXT(Table1[[#This Row],[Membership_Start_Date2]], "ddd mm")</f>
        <v>Fri 09</v>
      </c>
      <c r="G43" t="s">
        <v>105</v>
      </c>
      <c r="H43">
        <v>2</v>
      </c>
      <c r="I43">
        <v>40</v>
      </c>
      <c r="J43">
        <v>5</v>
      </c>
      <c r="K43" s="1">
        <v>0</v>
      </c>
      <c r="L43">
        <v>13</v>
      </c>
      <c r="M43" s="5">
        <v>38.6</v>
      </c>
    </row>
    <row r="44" spans="1:13" x14ac:dyDescent="0.25">
      <c r="A44" t="s">
        <v>106</v>
      </c>
      <c r="B44">
        <v>37</v>
      </c>
      <c r="C44" t="s">
        <v>12</v>
      </c>
      <c r="D44" t="s">
        <v>18</v>
      </c>
      <c r="E44" t="s">
        <v>22</v>
      </c>
      <c r="F44" t="str">
        <f>TEXT(Table1[[#This Row],[Membership_Start_Date2]], "ddd mm")</f>
        <v>Sat 01</v>
      </c>
      <c r="G44" t="s">
        <v>107</v>
      </c>
      <c r="H44">
        <v>5</v>
      </c>
      <c r="I44">
        <v>32</v>
      </c>
      <c r="J44">
        <v>20</v>
      </c>
      <c r="K44" s="1">
        <v>4983</v>
      </c>
      <c r="L44">
        <v>9</v>
      </c>
      <c r="M44" s="5">
        <v>47.4</v>
      </c>
    </row>
    <row r="45" spans="1:13" x14ac:dyDescent="0.25">
      <c r="A45" t="s">
        <v>108</v>
      </c>
      <c r="B45">
        <v>19</v>
      </c>
      <c r="C45" t="s">
        <v>12</v>
      </c>
      <c r="D45" t="s">
        <v>13</v>
      </c>
      <c r="E45" t="s">
        <v>33</v>
      </c>
      <c r="F45" t="str">
        <f>TEXT(Table1[[#This Row],[Membership_Start_Date2]], "ddd mm")</f>
        <v>Sun 01</v>
      </c>
      <c r="G45" t="s">
        <v>109</v>
      </c>
      <c r="H45">
        <v>1</v>
      </c>
      <c r="I45">
        <v>28</v>
      </c>
      <c r="J45">
        <v>16</v>
      </c>
      <c r="K45" s="1">
        <v>3804</v>
      </c>
      <c r="L45">
        <v>0</v>
      </c>
      <c r="M45" s="5">
        <v>10.9</v>
      </c>
    </row>
    <row r="46" spans="1:13" x14ac:dyDescent="0.25">
      <c r="A46" t="s">
        <v>110</v>
      </c>
      <c r="B46">
        <v>38</v>
      </c>
      <c r="C46" t="s">
        <v>12</v>
      </c>
      <c r="D46" t="s">
        <v>13</v>
      </c>
      <c r="E46" t="s">
        <v>33</v>
      </c>
      <c r="F46" t="str">
        <f>TEXT(Table1[[#This Row],[Membership_Start_Date2]], "ddd mm")</f>
        <v>Thu 05</v>
      </c>
      <c r="G46" t="s">
        <v>111</v>
      </c>
      <c r="H46">
        <v>2</v>
      </c>
      <c r="I46">
        <v>26</v>
      </c>
      <c r="J46">
        <v>17</v>
      </c>
      <c r="K46" s="1">
        <v>0</v>
      </c>
      <c r="L46">
        <v>2</v>
      </c>
      <c r="M46" s="5">
        <v>12.6</v>
      </c>
    </row>
    <row r="47" spans="1:13" x14ac:dyDescent="0.25">
      <c r="A47" t="s">
        <v>112</v>
      </c>
      <c r="B47">
        <v>62</v>
      </c>
      <c r="C47" t="s">
        <v>12</v>
      </c>
      <c r="D47" t="s">
        <v>13</v>
      </c>
      <c r="E47" t="s">
        <v>14</v>
      </c>
      <c r="F47" t="str">
        <f>TEXT(Table1[[#This Row],[Membership_Start_Date2]], "ddd mm")</f>
        <v>Mon 02</v>
      </c>
      <c r="G47" t="s">
        <v>113</v>
      </c>
      <c r="H47">
        <v>3</v>
      </c>
      <c r="I47">
        <v>10</v>
      </c>
      <c r="J47">
        <v>27</v>
      </c>
      <c r="K47" s="1">
        <v>1924</v>
      </c>
      <c r="L47">
        <v>8</v>
      </c>
      <c r="M47" s="5">
        <v>47.7</v>
      </c>
    </row>
    <row r="48" spans="1:13" x14ac:dyDescent="0.25">
      <c r="A48" t="s">
        <v>114</v>
      </c>
      <c r="B48">
        <v>21</v>
      </c>
      <c r="C48" t="s">
        <v>12</v>
      </c>
      <c r="D48" t="s">
        <v>30</v>
      </c>
      <c r="E48" t="s">
        <v>33</v>
      </c>
      <c r="F48" t="str">
        <f>TEXT(Table1[[#This Row],[Membership_Start_Date2]], "ddd mm")</f>
        <v>Tue 08</v>
      </c>
      <c r="G48" t="s">
        <v>115</v>
      </c>
      <c r="H48">
        <v>4</v>
      </c>
      <c r="I48">
        <v>27</v>
      </c>
      <c r="J48">
        <v>4</v>
      </c>
      <c r="K48" s="1">
        <v>0</v>
      </c>
      <c r="L48">
        <v>13</v>
      </c>
      <c r="M48" s="5">
        <v>10.7</v>
      </c>
    </row>
    <row r="49" spans="1:13" x14ac:dyDescent="0.25">
      <c r="A49" t="s">
        <v>116</v>
      </c>
      <c r="B49">
        <v>70</v>
      </c>
      <c r="C49" t="s">
        <v>12</v>
      </c>
      <c r="D49" t="s">
        <v>21</v>
      </c>
      <c r="E49" t="s">
        <v>33</v>
      </c>
      <c r="F49" t="str">
        <f>TEXT(Table1[[#This Row],[Membership_Start_Date2]], "ddd mm")</f>
        <v>Thu 11</v>
      </c>
      <c r="G49" t="s">
        <v>117</v>
      </c>
      <c r="H49">
        <v>7</v>
      </c>
      <c r="I49">
        <v>32</v>
      </c>
      <c r="J49">
        <v>23</v>
      </c>
      <c r="K49" s="1">
        <v>0</v>
      </c>
      <c r="L49">
        <v>0</v>
      </c>
      <c r="M49" s="5">
        <v>11.1</v>
      </c>
    </row>
    <row r="50" spans="1:13" x14ac:dyDescent="0.25">
      <c r="A50" t="s">
        <v>118</v>
      </c>
      <c r="B50">
        <v>62</v>
      </c>
      <c r="C50" t="s">
        <v>12</v>
      </c>
      <c r="D50" t="s">
        <v>13</v>
      </c>
      <c r="E50" t="s">
        <v>33</v>
      </c>
      <c r="F50" t="str">
        <f>TEXT(Table1[[#This Row],[Membership_Start_Date2]], "ddd mm")</f>
        <v>Sun 06</v>
      </c>
      <c r="G50" t="s">
        <v>119</v>
      </c>
      <c r="H50">
        <v>4</v>
      </c>
      <c r="I50">
        <v>8</v>
      </c>
      <c r="J50">
        <v>9</v>
      </c>
      <c r="K50" s="1">
        <v>3141</v>
      </c>
      <c r="L50">
        <v>3</v>
      </c>
      <c r="M50" s="5">
        <v>25.1</v>
      </c>
    </row>
    <row r="51" spans="1:13" x14ac:dyDescent="0.25">
      <c r="A51" t="s">
        <v>120</v>
      </c>
      <c r="B51">
        <v>54</v>
      </c>
      <c r="C51" t="s">
        <v>17</v>
      </c>
      <c r="D51" t="s">
        <v>13</v>
      </c>
      <c r="E51" t="s">
        <v>25</v>
      </c>
      <c r="F51" t="str">
        <f>TEXT(Table1[[#This Row],[Membership_Start_Date2]], "ddd mm")</f>
        <v>Tue 04</v>
      </c>
      <c r="G51" t="s">
        <v>121</v>
      </c>
      <c r="H51">
        <v>10</v>
      </c>
      <c r="I51">
        <v>13</v>
      </c>
      <c r="J51">
        <v>22</v>
      </c>
      <c r="K51" s="1">
        <v>0</v>
      </c>
      <c r="L51">
        <v>6</v>
      </c>
      <c r="M51" s="5">
        <v>36.6</v>
      </c>
    </row>
    <row r="52" spans="1:13" x14ac:dyDescent="0.25">
      <c r="A52" t="s">
        <v>122</v>
      </c>
      <c r="B52">
        <v>18</v>
      </c>
      <c r="C52" t="s">
        <v>12</v>
      </c>
      <c r="D52" t="s">
        <v>13</v>
      </c>
      <c r="E52" t="s">
        <v>33</v>
      </c>
      <c r="F52" t="str">
        <f>TEXT(Table1[[#This Row],[Membership_Start_Date2]], "ddd mm")</f>
        <v>Thu 10</v>
      </c>
      <c r="G52" t="s">
        <v>123</v>
      </c>
      <c r="H52">
        <v>5</v>
      </c>
      <c r="I52">
        <v>40</v>
      </c>
      <c r="J52">
        <v>25</v>
      </c>
      <c r="K52" s="1">
        <v>0</v>
      </c>
      <c r="L52">
        <v>12</v>
      </c>
      <c r="M52" s="5">
        <v>33.700000000000003</v>
      </c>
    </row>
    <row r="53" spans="1:13" x14ac:dyDescent="0.25">
      <c r="A53" t="s">
        <v>124</v>
      </c>
      <c r="B53">
        <v>36</v>
      </c>
      <c r="C53" t="s">
        <v>17</v>
      </c>
      <c r="D53" t="s">
        <v>13</v>
      </c>
      <c r="E53" t="s">
        <v>25</v>
      </c>
      <c r="F53" t="str">
        <f>TEXT(Table1[[#This Row],[Membership_Start_Date2]], "ddd mm")</f>
        <v>Thu 04</v>
      </c>
      <c r="G53" t="s">
        <v>125</v>
      </c>
      <c r="H53">
        <v>4</v>
      </c>
      <c r="I53">
        <v>34</v>
      </c>
      <c r="J53">
        <v>27</v>
      </c>
      <c r="K53" s="1">
        <v>384</v>
      </c>
      <c r="L53">
        <v>7</v>
      </c>
      <c r="M53" s="5">
        <v>49</v>
      </c>
    </row>
    <row r="54" spans="1:13" x14ac:dyDescent="0.25">
      <c r="A54" t="s">
        <v>126</v>
      </c>
      <c r="B54">
        <v>71</v>
      </c>
      <c r="C54" t="s">
        <v>12</v>
      </c>
      <c r="D54" t="s">
        <v>21</v>
      </c>
      <c r="E54" t="s">
        <v>22</v>
      </c>
      <c r="F54" t="str">
        <f>TEXT(Table1[[#This Row],[Membership_Start_Date2]], "ddd mm")</f>
        <v>Wed 03</v>
      </c>
      <c r="G54" t="s">
        <v>127</v>
      </c>
      <c r="H54">
        <v>6</v>
      </c>
      <c r="I54">
        <v>25</v>
      </c>
      <c r="J54">
        <v>1</v>
      </c>
      <c r="K54" s="1">
        <v>4295</v>
      </c>
      <c r="L54">
        <v>9</v>
      </c>
      <c r="M54" s="5">
        <v>22.6</v>
      </c>
    </row>
    <row r="55" spans="1:13" x14ac:dyDescent="0.25">
      <c r="A55" t="s">
        <v>128</v>
      </c>
      <c r="B55">
        <v>36</v>
      </c>
      <c r="C55" t="s">
        <v>12</v>
      </c>
      <c r="D55" t="s">
        <v>18</v>
      </c>
      <c r="E55" t="s">
        <v>33</v>
      </c>
      <c r="F55" t="str">
        <f>TEXT(Table1[[#This Row],[Membership_Start_Date2]], "ddd mm")</f>
        <v>Tue 10</v>
      </c>
      <c r="G55" t="s">
        <v>129</v>
      </c>
      <c r="H55">
        <v>5</v>
      </c>
      <c r="I55">
        <v>7</v>
      </c>
      <c r="J55">
        <v>10</v>
      </c>
      <c r="K55" s="1">
        <v>164</v>
      </c>
      <c r="L55">
        <v>13</v>
      </c>
      <c r="M55" s="5">
        <v>37.299999999999997</v>
      </c>
    </row>
    <row r="56" spans="1:13" x14ac:dyDescent="0.25">
      <c r="A56" t="s">
        <v>130</v>
      </c>
      <c r="B56">
        <v>23</v>
      </c>
      <c r="C56" t="s">
        <v>17</v>
      </c>
      <c r="D56" t="s">
        <v>41</v>
      </c>
      <c r="E56" t="s">
        <v>14</v>
      </c>
      <c r="F56" t="str">
        <f>TEXT(Table1[[#This Row],[Membership_Start_Date2]], "ddd mm")</f>
        <v>Thu 06</v>
      </c>
      <c r="G56" t="s">
        <v>131</v>
      </c>
      <c r="H56">
        <v>6</v>
      </c>
      <c r="I56">
        <v>22</v>
      </c>
      <c r="J56">
        <v>18</v>
      </c>
      <c r="K56" s="1">
        <v>0</v>
      </c>
      <c r="L56">
        <v>1</v>
      </c>
      <c r="M56" s="5">
        <v>32.799999999999997</v>
      </c>
    </row>
    <row r="57" spans="1:13" x14ac:dyDescent="0.25">
      <c r="A57" t="s">
        <v>132</v>
      </c>
      <c r="B57">
        <v>40</v>
      </c>
      <c r="C57" t="s">
        <v>12</v>
      </c>
      <c r="D57" t="s">
        <v>13</v>
      </c>
      <c r="E57" t="s">
        <v>22</v>
      </c>
      <c r="F57" t="str">
        <f>TEXT(Table1[[#This Row],[Membership_Start_Date2]], "ddd mm")</f>
        <v>Thu 05</v>
      </c>
      <c r="G57" t="s">
        <v>133</v>
      </c>
      <c r="H57">
        <v>10</v>
      </c>
      <c r="I57">
        <v>6</v>
      </c>
      <c r="J57">
        <v>7</v>
      </c>
      <c r="K57" s="1">
        <v>0</v>
      </c>
      <c r="L57">
        <v>6</v>
      </c>
      <c r="M57" s="5">
        <v>49.5</v>
      </c>
    </row>
    <row r="58" spans="1:13" x14ac:dyDescent="0.25">
      <c r="A58" t="s">
        <v>134</v>
      </c>
      <c r="B58">
        <v>75</v>
      </c>
      <c r="C58" t="s">
        <v>12</v>
      </c>
      <c r="D58" t="s">
        <v>38</v>
      </c>
      <c r="E58" t="s">
        <v>14</v>
      </c>
      <c r="F58" t="str">
        <f>TEXT(Table1[[#This Row],[Membership_Start_Date2]], "ddd mm")</f>
        <v>Thu 11</v>
      </c>
      <c r="G58" t="s">
        <v>135</v>
      </c>
      <c r="H58">
        <v>8</v>
      </c>
      <c r="I58">
        <v>33</v>
      </c>
      <c r="J58">
        <v>10</v>
      </c>
      <c r="K58" s="1">
        <v>3575</v>
      </c>
      <c r="L58">
        <v>13</v>
      </c>
      <c r="M58" s="5">
        <v>41.6</v>
      </c>
    </row>
    <row r="59" spans="1:13" x14ac:dyDescent="0.25">
      <c r="A59" t="s">
        <v>136</v>
      </c>
      <c r="B59">
        <v>62</v>
      </c>
      <c r="C59" t="s">
        <v>12</v>
      </c>
      <c r="D59" t="s">
        <v>30</v>
      </c>
      <c r="E59" t="s">
        <v>22</v>
      </c>
      <c r="F59" t="str">
        <f>TEXT(Table1[[#This Row],[Membership_Start_Date2]], "ddd mm")</f>
        <v>Wed 10</v>
      </c>
      <c r="G59" t="s">
        <v>137</v>
      </c>
      <c r="H59">
        <v>9</v>
      </c>
      <c r="I59">
        <v>39</v>
      </c>
      <c r="J59">
        <v>22</v>
      </c>
      <c r="K59" s="1">
        <v>2020</v>
      </c>
      <c r="L59">
        <v>12</v>
      </c>
      <c r="M59" s="5">
        <v>46.6</v>
      </c>
    </row>
    <row r="60" spans="1:13" x14ac:dyDescent="0.25">
      <c r="A60" t="s">
        <v>138</v>
      </c>
      <c r="B60">
        <v>39</v>
      </c>
      <c r="C60" t="s">
        <v>17</v>
      </c>
      <c r="D60" t="s">
        <v>13</v>
      </c>
      <c r="E60" t="s">
        <v>22</v>
      </c>
      <c r="F60" t="str">
        <f>TEXT(Table1[[#This Row],[Membership_Start_Date2]], "ddd mm")</f>
        <v>Wed 03</v>
      </c>
      <c r="G60" t="s">
        <v>139</v>
      </c>
      <c r="H60">
        <v>2</v>
      </c>
      <c r="I60">
        <v>0</v>
      </c>
      <c r="J60">
        <v>21</v>
      </c>
      <c r="K60" s="1">
        <v>0</v>
      </c>
      <c r="L60">
        <v>15</v>
      </c>
      <c r="M60" s="5">
        <v>4.7</v>
      </c>
    </row>
    <row r="61" spans="1:13" x14ac:dyDescent="0.25">
      <c r="A61" t="s">
        <v>140</v>
      </c>
      <c r="B61">
        <v>49</v>
      </c>
      <c r="C61" t="s">
        <v>17</v>
      </c>
      <c r="D61" t="s">
        <v>41</v>
      </c>
      <c r="E61" t="s">
        <v>14</v>
      </c>
      <c r="F61" t="str">
        <f>TEXT(Table1[[#This Row],[Membership_Start_Date2]], "ddd mm")</f>
        <v>Mon 09</v>
      </c>
      <c r="G61" t="s">
        <v>141</v>
      </c>
      <c r="H61">
        <v>3</v>
      </c>
      <c r="I61">
        <v>28</v>
      </c>
      <c r="J61">
        <v>11</v>
      </c>
      <c r="K61" s="1">
        <v>0</v>
      </c>
      <c r="L61">
        <v>10</v>
      </c>
      <c r="M61" s="5">
        <v>14.6</v>
      </c>
    </row>
    <row r="62" spans="1:13" x14ac:dyDescent="0.25">
      <c r="A62" t="s">
        <v>142</v>
      </c>
      <c r="B62">
        <v>50</v>
      </c>
      <c r="C62" t="s">
        <v>12</v>
      </c>
      <c r="D62" t="s">
        <v>21</v>
      </c>
      <c r="E62" t="s">
        <v>25</v>
      </c>
      <c r="F62" t="str">
        <f>TEXT(Table1[[#This Row],[Membership_Start_Date2]], "ddd mm")</f>
        <v>Wed 12</v>
      </c>
      <c r="G62" t="s">
        <v>143</v>
      </c>
      <c r="H62">
        <v>9</v>
      </c>
      <c r="I62">
        <v>1</v>
      </c>
      <c r="J62">
        <v>6</v>
      </c>
      <c r="K62" s="1">
        <v>4624</v>
      </c>
      <c r="L62">
        <v>15</v>
      </c>
      <c r="M62" s="5">
        <v>1.4</v>
      </c>
    </row>
    <row r="63" spans="1:13" x14ac:dyDescent="0.25">
      <c r="A63" t="s">
        <v>144</v>
      </c>
      <c r="B63">
        <v>50</v>
      </c>
      <c r="C63" t="s">
        <v>17</v>
      </c>
      <c r="D63" t="s">
        <v>41</v>
      </c>
      <c r="E63" t="s">
        <v>25</v>
      </c>
      <c r="F63" t="str">
        <f>TEXT(Table1[[#This Row],[Membership_Start_Date2]], "ddd mm")</f>
        <v>Wed 08</v>
      </c>
      <c r="G63" t="s">
        <v>145</v>
      </c>
      <c r="H63">
        <v>1</v>
      </c>
      <c r="I63">
        <v>39</v>
      </c>
      <c r="J63">
        <v>14</v>
      </c>
      <c r="K63" s="1">
        <v>4500</v>
      </c>
      <c r="L63">
        <v>0</v>
      </c>
      <c r="M63" s="5">
        <v>29.5</v>
      </c>
    </row>
    <row r="64" spans="1:13" x14ac:dyDescent="0.25">
      <c r="A64" t="s">
        <v>146</v>
      </c>
      <c r="B64">
        <v>34</v>
      </c>
      <c r="C64" t="s">
        <v>17</v>
      </c>
      <c r="D64" t="s">
        <v>21</v>
      </c>
      <c r="E64" t="s">
        <v>25</v>
      </c>
      <c r="F64" t="str">
        <f>TEXT(Table1[[#This Row],[Membership_Start_Date2]], "ddd mm")</f>
        <v>Sat 01</v>
      </c>
      <c r="G64" t="s">
        <v>147</v>
      </c>
      <c r="H64">
        <v>1</v>
      </c>
      <c r="I64">
        <v>2</v>
      </c>
      <c r="J64">
        <v>27</v>
      </c>
      <c r="K64" s="1">
        <v>4734</v>
      </c>
      <c r="L64">
        <v>9</v>
      </c>
      <c r="M64" s="5">
        <v>12.4</v>
      </c>
    </row>
    <row r="65" spans="1:13" x14ac:dyDescent="0.25">
      <c r="A65" t="s">
        <v>148</v>
      </c>
      <c r="B65">
        <v>54</v>
      </c>
      <c r="C65" t="s">
        <v>17</v>
      </c>
      <c r="D65" t="s">
        <v>18</v>
      </c>
      <c r="E65" t="s">
        <v>14</v>
      </c>
      <c r="F65" t="str">
        <f>TEXT(Table1[[#This Row],[Membership_Start_Date2]], "ddd mm")</f>
        <v>Tue 01</v>
      </c>
      <c r="G65" t="s">
        <v>149</v>
      </c>
      <c r="H65">
        <v>8</v>
      </c>
      <c r="I65">
        <v>21</v>
      </c>
      <c r="J65">
        <v>13</v>
      </c>
      <c r="K65" s="1">
        <v>3331</v>
      </c>
      <c r="L65">
        <v>11</v>
      </c>
      <c r="M65" s="5">
        <v>32.9</v>
      </c>
    </row>
    <row r="66" spans="1:13" x14ac:dyDescent="0.25">
      <c r="A66" t="s">
        <v>150</v>
      </c>
      <c r="B66">
        <v>69</v>
      </c>
      <c r="C66" t="s">
        <v>12</v>
      </c>
      <c r="D66" t="s">
        <v>18</v>
      </c>
      <c r="E66" t="s">
        <v>22</v>
      </c>
      <c r="F66" t="str">
        <f>TEXT(Table1[[#This Row],[Membership_Start_Date2]], "ddd mm")</f>
        <v>Mon 04</v>
      </c>
      <c r="G66" t="s">
        <v>151</v>
      </c>
      <c r="H66">
        <v>7</v>
      </c>
      <c r="I66">
        <v>38</v>
      </c>
      <c r="J66">
        <v>25</v>
      </c>
      <c r="K66" s="1">
        <v>3554</v>
      </c>
      <c r="L66">
        <v>0</v>
      </c>
      <c r="M66" s="5">
        <v>37.299999999999997</v>
      </c>
    </row>
    <row r="67" spans="1:13" x14ac:dyDescent="0.25">
      <c r="A67" t="s">
        <v>152</v>
      </c>
      <c r="B67">
        <v>19</v>
      </c>
      <c r="C67" t="s">
        <v>17</v>
      </c>
      <c r="D67" t="s">
        <v>41</v>
      </c>
      <c r="E67" t="s">
        <v>22</v>
      </c>
      <c r="F67" t="str">
        <f>TEXT(Table1[[#This Row],[Membership_Start_Date2]], "ddd mm")</f>
        <v>Wed 07</v>
      </c>
      <c r="G67" t="s">
        <v>153</v>
      </c>
      <c r="H67">
        <v>6</v>
      </c>
      <c r="I67">
        <v>3</v>
      </c>
      <c r="J67">
        <v>16</v>
      </c>
      <c r="K67" s="1">
        <v>0</v>
      </c>
      <c r="L67">
        <v>5</v>
      </c>
      <c r="M67" s="5">
        <v>1.2</v>
      </c>
    </row>
    <row r="68" spans="1:13" x14ac:dyDescent="0.25">
      <c r="A68" t="s">
        <v>154</v>
      </c>
      <c r="B68">
        <v>63</v>
      </c>
      <c r="C68" t="s">
        <v>12</v>
      </c>
      <c r="D68" t="s">
        <v>30</v>
      </c>
      <c r="E68" t="s">
        <v>25</v>
      </c>
      <c r="F68" t="str">
        <f>TEXT(Table1[[#This Row],[Membership_Start_Date2]], "ddd mm")</f>
        <v>Tue 01</v>
      </c>
      <c r="G68" t="s">
        <v>149</v>
      </c>
      <c r="H68">
        <v>4</v>
      </c>
      <c r="I68">
        <v>19</v>
      </c>
      <c r="J68">
        <v>6</v>
      </c>
      <c r="K68" s="1">
        <v>1475</v>
      </c>
      <c r="L68">
        <v>6</v>
      </c>
      <c r="M68" s="5">
        <v>42.9</v>
      </c>
    </row>
    <row r="69" spans="1:13" x14ac:dyDescent="0.25">
      <c r="A69" t="s">
        <v>155</v>
      </c>
      <c r="B69">
        <v>51</v>
      </c>
      <c r="C69" t="s">
        <v>17</v>
      </c>
      <c r="D69" t="s">
        <v>13</v>
      </c>
      <c r="E69" t="s">
        <v>25</v>
      </c>
      <c r="F69" t="str">
        <f>TEXT(Table1[[#This Row],[Membership_Start_Date2]], "ddd mm")</f>
        <v>Wed 09</v>
      </c>
      <c r="G69" t="s">
        <v>156</v>
      </c>
      <c r="H69">
        <v>9</v>
      </c>
      <c r="I69">
        <v>23</v>
      </c>
      <c r="J69">
        <v>30</v>
      </c>
      <c r="K69" s="1">
        <v>2668</v>
      </c>
      <c r="L69">
        <v>9</v>
      </c>
      <c r="M69" s="5">
        <v>41.6</v>
      </c>
    </row>
    <row r="70" spans="1:13" x14ac:dyDescent="0.25">
      <c r="A70" t="s">
        <v>157</v>
      </c>
      <c r="B70">
        <v>26</v>
      </c>
      <c r="C70" t="s">
        <v>17</v>
      </c>
      <c r="D70" t="s">
        <v>38</v>
      </c>
      <c r="E70" t="s">
        <v>25</v>
      </c>
      <c r="F70" t="str">
        <f>TEXT(Table1[[#This Row],[Membership_Start_Date2]], "ddd mm")</f>
        <v>Mon 07</v>
      </c>
      <c r="G70" t="s">
        <v>158</v>
      </c>
      <c r="H70">
        <v>3</v>
      </c>
      <c r="I70">
        <v>9</v>
      </c>
      <c r="J70">
        <v>13</v>
      </c>
      <c r="K70" s="1">
        <v>0</v>
      </c>
      <c r="L70">
        <v>11</v>
      </c>
      <c r="M70" s="5">
        <v>48.8</v>
      </c>
    </row>
    <row r="71" spans="1:13" x14ac:dyDescent="0.25">
      <c r="A71" t="s">
        <v>159</v>
      </c>
      <c r="B71">
        <v>37</v>
      </c>
      <c r="C71" t="s">
        <v>17</v>
      </c>
      <c r="D71" t="s">
        <v>13</v>
      </c>
      <c r="E71" t="s">
        <v>14</v>
      </c>
      <c r="F71" t="str">
        <f>TEXT(Table1[[#This Row],[Membership_Start_Date2]], "ddd mm")</f>
        <v>Mon 07</v>
      </c>
      <c r="G71" t="s">
        <v>160</v>
      </c>
      <c r="H71">
        <v>8</v>
      </c>
      <c r="I71">
        <v>5</v>
      </c>
      <c r="J71">
        <v>13</v>
      </c>
      <c r="K71" s="1">
        <v>0</v>
      </c>
      <c r="L71">
        <v>2</v>
      </c>
      <c r="M71" s="5">
        <v>44.3</v>
      </c>
    </row>
    <row r="72" spans="1:13" x14ac:dyDescent="0.25">
      <c r="A72" t="s">
        <v>161</v>
      </c>
      <c r="B72">
        <v>16</v>
      </c>
      <c r="C72" t="s">
        <v>17</v>
      </c>
      <c r="D72" t="s">
        <v>30</v>
      </c>
      <c r="E72" t="s">
        <v>22</v>
      </c>
      <c r="F72" t="str">
        <f>TEXT(Table1[[#This Row],[Membership_Start_Date2]], "ddd mm")</f>
        <v>Sat 07</v>
      </c>
      <c r="G72" t="s">
        <v>162</v>
      </c>
      <c r="H72">
        <v>3</v>
      </c>
      <c r="I72">
        <v>10</v>
      </c>
      <c r="J72">
        <v>12</v>
      </c>
      <c r="K72" s="1">
        <v>4325</v>
      </c>
      <c r="L72">
        <v>3</v>
      </c>
      <c r="M72" s="5">
        <v>43.2</v>
      </c>
    </row>
    <row r="73" spans="1:13" x14ac:dyDescent="0.25">
      <c r="A73" t="s">
        <v>163</v>
      </c>
      <c r="B73">
        <v>45</v>
      </c>
      <c r="C73" t="s">
        <v>17</v>
      </c>
      <c r="D73" t="s">
        <v>18</v>
      </c>
      <c r="E73" t="s">
        <v>22</v>
      </c>
      <c r="F73" t="str">
        <f>TEXT(Table1[[#This Row],[Membership_Start_Date2]], "ddd mm")</f>
        <v>Thu 09</v>
      </c>
      <c r="G73" t="s">
        <v>164</v>
      </c>
      <c r="H73">
        <v>4</v>
      </c>
      <c r="I73">
        <v>10</v>
      </c>
      <c r="J73">
        <v>11</v>
      </c>
      <c r="K73" s="1">
        <v>0</v>
      </c>
      <c r="L73">
        <v>1</v>
      </c>
      <c r="M73" s="5">
        <v>12.9</v>
      </c>
    </row>
    <row r="74" spans="1:13" x14ac:dyDescent="0.25">
      <c r="A74" t="s">
        <v>165</v>
      </c>
      <c r="B74">
        <v>62</v>
      </c>
      <c r="C74" t="s">
        <v>17</v>
      </c>
      <c r="D74" t="s">
        <v>38</v>
      </c>
      <c r="E74" t="s">
        <v>14</v>
      </c>
      <c r="F74" t="str">
        <f>TEXT(Table1[[#This Row],[Membership_Start_Date2]], "ddd mm")</f>
        <v>Mon 08</v>
      </c>
      <c r="G74" t="s">
        <v>166</v>
      </c>
      <c r="H74">
        <v>8</v>
      </c>
      <c r="I74">
        <v>33</v>
      </c>
      <c r="J74">
        <v>20</v>
      </c>
      <c r="K74" s="1">
        <v>0</v>
      </c>
      <c r="L74">
        <v>14</v>
      </c>
      <c r="M74" s="5">
        <v>33.200000000000003</v>
      </c>
    </row>
    <row r="75" spans="1:13" x14ac:dyDescent="0.25">
      <c r="A75" t="s">
        <v>167</v>
      </c>
      <c r="B75">
        <v>17</v>
      </c>
      <c r="C75" t="s">
        <v>12</v>
      </c>
      <c r="D75" t="s">
        <v>30</v>
      </c>
      <c r="E75" t="s">
        <v>14</v>
      </c>
      <c r="F75" t="str">
        <f>TEXT(Table1[[#This Row],[Membership_Start_Date2]], "ddd mm")</f>
        <v>Tue 10</v>
      </c>
      <c r="G75" t="s">
        <v>168</v>
      </c>
      <c r="H75">
        <v>10</v>
      </c>
      <c r="I75">
        <v>22</v>
      </c>
      <c r="J75">
        <v>3</v>
      </c>
      <c r="K75" s="1">
        <v>706</v>
      </c>
      <c r="L75">
        <v>7</v>
      </c>
      <c r="M75" s="5">
        <v>21.9</v>
      </c>
    </row>
    <row r="76" spans="1:13" x14ac:dyDescent="0.25">
      <c r="A76" t="s">
        <v>169</v>
      </c>
      <c r="B76">
        <v>19</v>
      </c>
      <c r="C76" t="s">
        <v>12</v>
      </c>
      <c r="D76" t="s">
        <v>13</v>
      </c>
      <c r="E76" t="s">
        <v>33</v>
      </c>
      <c r="F76" t="str">
        <f>TEXT(Table1[[#This Row],[Membership_Start_Date2]], "ddd mm")</f>
        <v>Wed 10</v>
      </c>
      <c r="G76" t="s">
        <v>170</v>
      </c>
      <c r="H76">
        <v>3</v>
      </c>
      <c r="I76">
        <v>19</v>
      </c>
      <c r="J76">
        <v>15</v>
      </c>
      <c r="K76" s="1">
        <v>1891</v>
      </c>
      <c r="L76">
        <v>13</v>
      </c>
      <c r="M76" s="5">
        <v>14.8</v>
      </c>
    </row>
    <row r="77" spans="1:13" x14ac:dyDescent="0.25">
      <c r="A77" t="s">
        <v>171</v>
      </c>
      <c r="B77">
        <v>36</v>
      </c>
      <c r="C77" t="s">
        <v>17</v>
      </c>
      <c r="D77" t="s">
        <v>18</v>
      </c>
      <c r="E77" t="s">
        <v>22</v>
      </c>
      <c r="F77" t="str">
        <f>TEXT(Table1[[#This Row],[Membership_Start_Date2]], "ddd mm")</f>
        <v>Sat 12</v>
      </c>
      <c r="G77" t="s">
        <v>172</v>
      </c>
      <c r="H77">
        <v>9</v>
      </c>
      <c r="I77">
        <v>4</v>
      </c>
      <c r="J77">
        <v>16</v>
      </c>
      <c r="K77" s="1">
        <v>0</v>
      </c>
      <c r="L77">
        <v>10</v>
      </c>
      <c r="M77" s="5">
        <v>22.6</v>
      </c>
    </row>
    <row r="78" spans="1:13" x14ac:dyDescent="0.25">
      <c r="A78" t="s">
        <v>173</v>
      </c>
      <c r="B78">
        <v>22</v>
      </c>
      <c r="C78" t="s">
        <v>17</v>
      </c>
      <c r="D78" t="s">
        <v>38</v>
      </c>
      <c r="E78" t="s">
        <v>14</v>
      </c>
      <c r="F78" t="str">
        <f>TEXT(Table1[[#This Row],[Membership_Start_Date2]], "ddd mm")</f>
        <v>Sun 03</v>
      </c>
      <c r="G78" t="s">
        <v>174</v>
      </c>
      <c r="H78">
        <v>1</v>
      </c>
      <c r="I78">
        <v>9</v>
      </c>
      <c r="J78">
        <v>5</v>
      </c>
      <c r="K78" s="1">
        <v>0</v>
      </c>
      <c r="L78">
        <v>12</v>
      </c>
      <c r="M78" s="5">
        <v>20.399999999999999</v>
      </c>
    </row>
    <row r="79" spans="1:13" x14ac:dyDescent="0.25">
      <c r="A79" t="s">
        <v>175</v>
      </c>
      <c r="B79">
        <v>45</v>
      </c>
      <c r="C79" t="s">
        <v>17</v>
      </c>
      <c r="D79" t="s">
        <v>38</v>
      </c>
      <c r="E79" t="s">
        <v>14</v>
      </c>
      <c r="F79" t="str">
        <f>TEXT(Table1[[#This Row],[Membership_Start_Date2]], "ddd mm")</f>
        <v>Mon 07</v>
      </c>
      <c r="G79" t="s">
        <v>176</v>
      </c>
      <c r="H79">
        <v>4</v>
      </c>
      <c r="I79">
        <v>40</v>
      </c>
      <c r="J79">
        <v>30</v>
      </c>
      <c r="K79" s="1">
        <v>0</v>
      </c>
      <c r="L79">
        <v>11</v>
      </c>
      <c r="M79" s="5">
        <v>0.1</v>
      </c>
    </row>
    <row r="80" spans="1:13" x14ac:dyDescent="0.25">
      <c r="A80" t="s">
        <v>177</v>
      </c>
      <c r="B80">
        <v>40</v>
      </c>
      <c r="C80" t="s">
        <v>17</v>
      </c>
      <c r="D80" t="s">
        <v>30</v>
      </c>
      <c r="E80" t="s">
        <v>22</v>
      </c>
      <c r="F80" t="str">
        <f>TEXT(Table1[[#This Row],[Membership_Start_Date2]], "ddd mm")</f>
        <v>Sat 03</v>
      </c>
      <c r="G80" t="s">
        <v>95</v>
      </c>
      <c r="H80">
        <v>2</v>
      </c>
      <c r="I80">
        <v>4</v>
      </c>
      <c r="J80">
        <v>16</v>
      </c>
      <c r="K80" s="1">
        <v>0</v>
      </c>
      <c r="L80">
        <v>15</v>
      </c>
      <c r="M80" s="5">
        <v>26.5</v>
      </c>
    </row>
    <row r="81" spans="1:13" x14ac:dyDescent="0.25">
      <c r="A81" t="s">
        <v>178</v>
      </c>
      <c r="B81">
        <v>61</v>
      </c>
      <c r="C81" t="s">
        <v>17</v>
      </c>
      <c r="D81" t="s">
        <v>30</v>
      </c>
      <c r="E81" t="s">
        <v>25</v>
      </c>
      <c r="F81" t="str">
        <f>TEXT(Table1[[#This Row],[Membership_Start_Date2]], "ddd mm")</f>
        <v>Tue 02</v>
      </c>
      <c r="G81" t="s">
        <v>179</v>
      </c>
      <c r="H81">
        <v>4</v>
      </c>
      <c r="I81">
        <v>38</v>
      </c>
      <c r="J81">
        <v>13</v>
      </c>
      <c r="K81" s="1">
        <v>0</v>
      </c>
      <c r="L81">
        <v>14</v>
      </c>
      <c r="M81" s="5">
        <v>23.7</v>
      </c>
    </row>
    <row r="82" spans="1:13" x14ac:dyDescent="0.25">
      <c r="A82" t="s">
        <v>180</v>
      </c>
      <c r="B82">
        <v>15</v>
      </c>
      <c r="C82" t="s">
        <v>12</v>
      </c>
      <c r="D82" t="s">
        <v>41</v>
      </c>
      <c r="E82" t="s">
        <v>22</v>
      </c>
      <c r="F82" t="str">
        <f>TEXT(Table1[[#This Row],[Membership_Start_Date2]], "ddd mm")</f>
        <v>Fri 09</v>
      </c>
      <c r="G82" t="s">
        <v>181</v>
      </c>
      <c r="H82">
        <v>1</v>
      </c>
      <c r="I82">
        <v>21</v>
      </c>
      <c r="J82">
        <v>3</v>
      </c>
      <c r="K82" s="1">
        <v>4340</v>
      </c>
      <c r="L82">
        <v>2</v>
      </c>
      <c r="M82" s="5">
        <v>31.5</v>
      </c>
    </row>
    <row r="83" spans="1:13" x14ac:dyDescent="0.25">
      <c r="A83" t="s">
        <v>182</v>
      </c>
      <c r="B83">
        <v>70</v>
      </c>
      <c r="C83" t="s">
        <v>12</v>
      </c>
      <c r="D83" t="s">
        <v>38</v>
      </c>
      <c r="E83" t="s">
        <v>33</v>
      </c>
      <c r="F83" t="str">
        <f>TEXT(Table1[[#This Row],[Membership_Start_Date2]], "ddd mm")</f>
        <v>Mon 10</v>
      </c>
      <c r="G83" t="s">
        <v>183</v>
      </c>
      <c r="H83">
        <v>10</v>
      </c>
      <c r="I83">
        <v>22</v>
      </c>
      <c r="J83">
        <v>16</v>
      </c>
      <c r="K83" s="1">
        <v>0</v>
      </c>
      <c r="L83">
        <v>7</v>
      </c>
      <c r="M83" s="5">
        <v>29.2</v>
      </c>
    </row>
    <row r="84" spans="1:13" x14ac:dyDescent="0.25">
      <c r="A84" t="s">
        <v>184</v>
      </c>
      <c r="B84">
        <v>69</v>
      </c>
      <c r="C84" t="s">
        <v>17</v>
      </c>
      <c r="D84" t="s">
        <v>13</v>
      </c>
      <c r="E84" t="s">
        <v>25</v>
      </c>
      <c r="F84" t="str">
        <f>TEXT(Table1[[#This Row],[Membership_Start_Date2]], "ddd mm")</f>
        <v>Thu 11</v>
      </c>
      <c r="G84" t="s">
        <v>185</v>
      </c>
      <c r="H84">
        <v>9</v>
      </c>
      <c r="I84">
        <v>14</v>
      </c>
      <c r="J84">
        <v>24</v>
      </c>
      <c r="K84" s="1">
        <v>4509</v>
      </c>
      <c r="L84">
        <v>8</v>
      </c>
      <c r="M84" s="5">
        <v>15.5</v>
      </c>
    </row>
    <row r="85" spans="1:13" x14ac:dyDescent="0.25">
      <c r="A85" t="s">
        <v>186</v>
      </c>
      <c r="B85">
        <v>31</v>
      </c>
      <c r="C85" t="s">
        <v>12</v>
      </c>
      <c r="D85" t="s">
        <v>13</v>
      </c>
      <c r="E85" t="s">
        <v>33</v>
      </c>
      <c r="F85" t="str">
        <f>TEXT(Table1[[#This Row],[Membership_Start_Date2]], "ddd mm")</f>
        <v>Mon 09</v>
      </c>
      <c r="G85" t="s">
        <v>187</v>
      </c>
      <c r="H85">
        <v>6</v>
      </c>
      <c r="I85">
        <v>5</v>
      </c>
      <c r="J85">
        <v>4</v>
      </c>
      <c r="K85" s="1">
        <v>0</v>
      </c>
      <c r="L85">
        <v>4</v>
      </c>
      <c r="M85" s="5">
        <v>8.1999999999999993</v>
      </c>
    </row>
    <row r="86" spans="1:13" x14ac:dyDescent="0.25">
      <c r="A86" t="s">
        <v>188</v>
      </c>
      <c r="B86">
        <v>70</v>
      </c>
      <c r="C86" t="s">
        <v>17</v>
      </c>
      <c r="D86" t="s">
        <v>30</v>
      </c>
      <c r="E86" t="s">
        <v>14</v>
      </c>
      <c r="F86" t="str">
        <f>TEXT(Table1[[#This Row],[Membership_Start_Date2]], "ddd mm")</f>
        <v>Sat 01</v>
      </c>
      <c r="G86" t="s">
        <v>189</v>
      </c>
      <c r="H86">
        <v>4</v>
      </c>
      <c r="I86">
        <v>29</v>
      </c>
      <c r="J86">
        <v>28</v>
      </c>
      <c r="K86" s="1">
        <v>3627</v>
      </c>
      <c r="L86">
        <v>10</v>
      </c>
      <c r="M86" s="5">
        <v>40.1</v>
      </c>
    </row>
    <row r="87" spans="1:13" x14ac:dyDescent="0.25">
      <c r="A87" t="s">
        <v>190</v>
      </c>
      <c r="B87">
        <v>55</v>
      </c>
      <c r="C87" t="s">
        <v>17</v>
      </c>
      <c r="D87" t="s">
        <v>13</v>
      </c>
      <c r="E87" t="s">
        <v>33</v>
      </c>
      <c r="F87" t="str">
        <f>TEXT(Table1[[#This Row],[Membership_Start_Date2]], "ddd mm")</f>
        <v>Sun 07</v>
      </c>
      <c r="G87" t="s">
        <v>191</v>
      </c>
      <c r="H87">
        <v>5</v>
      </c>
      <c r="I87">
        <v>35</v>
      </c>
      <c r="J87">
        <v>15</v>
      </c>
      <c r="K87" s="1">
        <v>0</v>
      </c>
      <c r="L87">
        <v>8</v>
      </c>
      <c r="M87" s="5">
        <v>33.299999999999997</v>
      </c>
    </row>
    <row r="88" spans="1:13" x14ac:dyDescent="0.25">
      <c r="A88" t="s">
        <v>192</v>
      </c>
      <c r="B88">
        <v>69</v>
      </c>
      <c r="C88" t="s">
        <v>17</v>
      </c>
      <c r="D88" t="s">
        <v>18</v>
      </c>
      <c r="E88" t="s">
        <v>25</v>
      </c>
      <c r="F88" t="str">
        <f>TEXT(Table1[[#This Row],[Membership_Start_Date2]], "ddd mm")</f>
        <v>Thu 03</v>
      </c>
      <c r="G88" t="s">
        <v>193</v>
      </c>
      <c r="H88">
        <v>9</v>
      </c>
      <c r="I88">
        <v>15</v>
      </c>
      <c r="J88">
        <v>10</v>
      </c>
      <c r="K88" s="1">
        <v>3313</v>
      </c>
      <c r="L88">
        <v>8</v>
      </c>
      <c r="M88" s="5">
        <v>10</v>
      </c>
    </row>
    <row r="89" spans="1:13" x14ac:dyDescent="0.25">
      <c r="A89" t="s">
        <v>194</v>
      </c>
      <c r="B89">
        <v>33</v>
      </c>
      <c r="C89" t="s">
        <v>12</v>
      </c>
      <c r="D89" t="s">
        <v>18</v>
      </c>
      <c r="E89" t="s">
        <v>25</v>
      </c>
      <c r="F89" t="str">
        <f>TEXT(Table1[[#This Row],[Membership_Start_Date2]], "ddd mm")</f>
        <v>Mon 07</v>
      </c>
      <c r="G89" t="s">
        <v>195</v>
      </c>
      <c r="H89">
        <v>1</v>
      </c>
      <c r="I89">
        <v>19</v>
      </c>
      <c r="J89">
        <v>21</v>
      </c>
      <c r="K89" s="1">
        <v>4342</v>
      </c>
      <c r="L89">
        <v>6</v>
      </c>
      <c r="M89" s="5">
        <v>33.4</v>
      </c>
    </row>
    <row r="90" spans="1:13" x14ac:dyDescent="0.25">
      <c r="A90" t="s">
        <v>196</v>
      </c>
      <c r="B90">
        <v>36</v>
      </c>
      <c r="C90" t="s">
        <v>17</v>
      </c>
      <c r="D90" t="s">
        <v>21</v>
      </c>
      <c r="E90" t="s">
        <v>25</v>
      </c>
      <c r="F90" t="str">
        <f>TEXT(Table1[[#This Row],[Membership_Start_Date2]], "ddd mm")</f>
        <v>Tue 08</v>
      </c>
      <c r="G90" t="s">
        <v>197</v>
      </c>
      <c r="H90">
        <v>1</v>
      </c>
      <c r="I90">
        <v>35</v>
      </c>
      <c r="J90">
        <v>13</v>
      </c>
      <c r="K90" s="1">
        <v>0</v>
      </c>
      <c r="L90">
        <v>6</v>
      </c>
      <c r="M90" s="5">
        <v>15.9</v>
      </c>
    </row>
    <row r="91" spans="1:13" x14ac:dyDescent="0.25">
      <c r="A91" t="s">
        <v>198</v>
      </c>
      <c r="B91">
        <v>42</v>
      </c>
      <c r="C91" t="s">
        <v>12</v>
      </c>
      <c r="D91" t="s">
        <v>41</v>
      </c>
      <c r="E91" t="s">
        <v>22</v>
      </c>
      <c r="F91" t="str">
        <f>TEXT(Table1[[#This Row],[Membership_Start_Date2]], "ddd mm")</f>
        <v>Thu 04</v>
      </c>
      <c r="G91" t="s">
        <v>125</v>
      </c>
      <c r="H91">
        <v>5</v>
      </c>
      <c r="I91">
        <v>30</v>
      </c>
      <c r="J91">
        <v>25</v>
      </c>
      <c r="K91" s="1">
        <v>684</v>
      </c>
      <c r="L91">
        <v>7</v>
      </c>
      <c r="M91" s="5">
        <v>16.100000000000001</v>
      </c>
    </row>
    <row r="92" spans="1:13" x14ac:dyDescent="0.25">
      <c r="A92" t="s">
        <v>199</v>
      </c>
      <c r="B92">
        <v>59</v>
      </c>
      <c r="C92" t="s">
        <v>12</v>
      </c>
      <c r="D92" t="s">
        <v>41</v>
      </c>
      <c r="E92" t="s">
        <v>22</v>
      </c>
      <c r="F92" t="str">
        <f>TEXT(Table1[[#This Row],[Membership_Start_Date2]], "ddd mm")</f>
        <v>Mon 01</v>
      </c>
      <c r="G92" t="s">
        <v>200</v>
      </c>
      <c r="H92">
        <v>6</v>
      </c>
      <c r="I92">
        <v>0</v>
      </c>
      <c r="J92">
        <v>2</v>
      </c>
      <c r="K92" s="1">
        <v>4977</v>
      </c>
      <c r="L92">
        <v>12</v>
      </c>
      <c r="M92" s="5">
        <v>12.9</v>
      </c>
    </row>
    <row r="93" spans="1:13" x14ac:dyDescent="0.25">
      <c r="A93" t="s">
        <v>201</v>
      </c>
      <c r="B93">
        <v>33</v>
      </c>
      <c r="C93" t="s">
        <v>12</v>
      </c>
      <c r="D93" t="s">
        <v>21</v>
      </c>
      <c r="E93" t="s">
        <v>22</v>
      </c>
      <c r="F93" t="str">
        <f>TEXT(Table1[[#This Row],[Membership_Start_Date2]], "ddd mm")</f>
        <v>Tue 10</v>
      </c>
      <c r="G93" t="s">
        <v>202</v>
      </c>
      <c r="H93">
        <v>10</v>
      </c>
      <c r="I93">
        <v>22</v>
      </c>
      <c r="J93">
        <v>26</v>
      </c>
      <c r="K93" s="1">
        <v>1292</v>
      </c>
      <c r="L93">
        <v>6</v>
      </c>
      <c r="M93" s="5">
        <v>40.200000000000003</v>
      </c>
    </row>
    <row r="94" spans="1:13" x14ac:dyDescent="0.25">
      <c r="A94" t="s">
        <v>203</v>
      </c>
      <c r="B94">
        <v>68</v>
      </c>
      <c r="C94" t="s">
        <v>17</v>
      </c>
      <c r="D94" t="s">
        <v>21</v>
      </c>
      <c r="E94" t="s">
        <v>33</v>
      </c>
      <c r="F94" t="str">
        <f>TEXT(Table1[[#This Row],[Membership_Start_Date2]], "ddd mm")</f>
        <v>Tue 12</v>
      </c>
      <c r="G94" t="s">
        <v>204</v>
      </c>
      <c r="H94">
        <v>7</v>
      </c>
      <c r="I94">
        <v>6</v>
      </c>
      <c r="J94">
        <v>24</v>
      </c>
      <c r="K94" s="1">
        <v>0</v>
      </c>
      <c r="L94">
        <v>8</v>
      </c>
      <c r="M94" s="5">
        <v>32</v>
      </c>
    </row>
    <row r="95" spans="1:13" x14ac:dyDescent="0.25">
      <c r="A95" t="s">
        <v>205</v>
      </c>
      <c r="B95">
        <v>49</v>
      </c>
      <c r="C95" t="s">
        <v>12</v>
      </c>
      <c r="D95" t="s">
        <v>18</v>
      </c>
      <c r="E95" t="s">
        <v>33</v>
      </c>
      <c r="F95" t="str">
        <f>TEXT(Table1[[#This Row],[Membership_Start_Date2]], "ddd mm")</f>
        <v>Sun 12</v>
      </c>
      <c r="G95" t="s">
        <v>206</v>
      </c>
      <c r="H95">
        <v>9</v>
      </c>
      <c r="I95">
        <v>39</v>
      </c>
      <c r="J95">
        <v>2</v>
      </c>
      <c r="K95" s="1">
        <v>1491</v>
      </c>
      <c r="L95">
        <v>5</v>
      </c>
      <c r="M95" s="5">
        <v>48.5</v>
      </c>
    </row>
    <row r="96" spans="1:13" x14ac:dyDescent="0.25">
      <c r="A96" t="s">
        <v>207</v>
      </c>
      <c r="B96">
        <v>49</v>
      </c>
      <c r="C96" t="s">
        <v>12</v>
      </c>
      <c r="D96" t="s">
        <v>30</v>
      </c>
      <c r="E96" t="s">
        <v>33</v>
      </c>
      <c r="F96" t="str">
        <f>TEXT(Table1[[#This Row],[Membership_Start_Date2]], "ddd mm")</f>
        <v>Fri 08</v>
      </c>
      <c r="G96" t="s">
        <v>208</v>
      </c>
      <c r="H96">
        <v>9</v>
      </c>
      <c r="I96">
        <v>15</v>
      </c>
      <c r="J96">
        <v>22</v>
      </c>
      <c r="K96" s="1">
        <v>0</v>
      </c>
      <c r="L96">
        <v>0</v>
      </c>
      <c r="M96" s="5">
        <v>27.6</v>
      </c>
    </row>
    <row r="97" spans="1:13" x14ac:dyDescent="0.25">
      <c r="A97" t="s">
        <v>209</v>
      </c>
      <c r="B97">
        <v>31</v>
      </c>
      <c r="C97" t="s">
        <v>12</v>
      </c>
      <c r="D97" t="s">
        <v>18</v>
      </c>
      <c r="E97" t="s">
        <v>25</v>
      </c>
      <c r="F97" t="str">
        <f>TEXT(Table1[[#This Row],[Membership_Start_Date2]], "ddd mm")</f>
        <v>Thu 09</v>
      </c>
      <c r="G97" t="s">
        <v>210</v>
      </c>
      <c r="H97">
        <v>1</v>
      </c>
      <c r="I97">
        <v>7</v>
      </c>
      <c r="J97">
        <v>13</v>
      </c>
      <c r="K97" s="1">
        <v>0</v>
      </c>
      <c r="L97">
        <v>9</v>
      </c>
      <c r="M97" s="5">
        <v>31.8</v>
      </c>
    </row>
    <row r="98" spans="1:13" x14ac:dyDescent="0.25">
      <c r="A98" t="s">
        <v>211</v>
      </c>
      <c r="B98">
        <v>50</v>
      </c>
      <c r="C98" t="s">
        <v>12</v>
      </c>
      <c r="D98" t="s">
        <v>18</v>
      </c>
      <c r="E98" t="s">
        <v>25</v>
      </c>
      <c r="F98" t="str">
        <f>TEXT(Table1[[#This Row],[Membership_Start_Date2]], "ddd mm")</f>
        <v>Mon 12</v>
      </c>
      <c r="G98" t="s">
        <v>212</v>
      </c>
      <c r="H98">
        <v>8</v>
      </c>
      <c r="I98">
        <v>20</v>
      </c>
      <c r="J98">
        <v>18</v>
      </c>
      <c r="K98" s="1">
        <v>3708</v>
      </c>
      <c r="L98">
        <v>15</v>
      </c>
      <c r="M98" s="5">
        <v>30.1</v>
      </c>
    </row>
    <row r="99" spans="1:13" x14ac:dyDescent="0.25">
      <c r="A99" t="s">
        <v>213</v>
      </c>
      <c r="B99">
        <v>30</v>
      </c>
      <c r="C99" t="s">
        <v>12</v>
      </c>
      <c r="D99" t="s">
        <v>30</v>
      </c>
      <c r="E99" t="s">
        <v>22</v>
      </c>
      <c r="F99" t="str">
        <f>TEXT(Table1[[#This Row],[Membership_Start_Date2]], "ddd mm")</f>
        <v>Mon 06</v>
      </c>
      <c r="G99" t="s">
        <v>214</v>
      </c>
      <c r="H99">
        <v>10</v>
      </c>
      <c r="I99">
        <v>18</v>
      </c>
      <c r="J99">
        <v>3</v>
      </c>
      <c r="K99" s="1">
        <v>0</v>
      </c>
      <c r="L99">
        <v>5</v>
      </c>
      <c r="M99" s="5">
        <v>28.4</v>
      </c>
    </row>
    <row r="100" spans="1:13" x14ac:dyDescent="0.25">
      <c r="A100" t="s">
        <v>215</v>
      </c>
      <c r="B100">
        <v>52</v>
      </c>
      <c r="C100" t="s">
        <v>17</v>
      </c>
      <c r="D100" t="s">
        <v>13</v>
      </c>
      <c r="E100" t="s">
        <v>22</v>
      </c>
      <c r="F100" t="str">
        <f>TEXT(Table1[[#This Row],[Membership_Start_Date2]], "ddd mm")</f>
        <v>Mon 10</v>
      </c>
      <c r="G100" t="s">
        <v>216</v>
      </c>
      <c r="H100">
        <v>2</v>
      </c>
      <c r="I100">
        <v>0</v>
      </c>
      <c r="J100">
        <v>10</v>
      </c>
      <c r="K100" s="1">
        <v>149</v>
      </c>
      <c r="L100">
        <v>7</v>
      </c>
      <c r="M100" s="5">
        <v>23</v>
      </c>
    </row>
    <row r="101" spans="1:13" x14ac:dyDescent="0.25">
      <c r="A101" t="s">
        <v>217</v>
      </c>
      <c r="B101">
        <v>17</v>
      </c>
      <c r="C101" t="s">
        <v>12</v>
      </c>
      <c r="D101" t="s">
        <v>18</v>
      </c>
      <c r="E101" t="s">
        <v>33</v>
      </c>
      <c r="F101" t="str">
        <f>TEXT(Table1[[#This Row],[Membership_Start_Date2]], "ddd mm")</f>
        <v>Mon 09</v>
      </c>
      <c r="G101" t="s">
        <v>218</v>
      </c>
      <c r="H101">
        <v>1</v>
      </c>
      <c r="I101">
        <v>3</v>
      </c>
      <c r="J101">
        <v>27</v>
      </c>
      <c r="K101" s="1">
        <v>0</v>
      </c>
      <c r="L101">
        <v>8</v>
      </c>
      <c r="M101" s="5">
        <v>7.3</v>
      </c>
    </row>
    <row r="102" spans="1:13" x14ac:dyDescent="0.25">
      <c r="A102" t="s">
        <v>219</v>
      </c>
      <c r="B102">
        <v>26</v>
      </c>
      <c r="C102" t="s">
        <v>17</v>
      </c>
      <c r="D102" t="s">
        <v>41</v>
      </c>
      <c r="E102" t="s">
        <v>33</v>
      </c>
      <c r="F102" t="str">
        <f>TEXT(Table1[[#This Row],[Membership_Start_Date2]], "ddd mm")</f>
        <v>Wed 03</v>
      </c>
      <c r="G102" t="s">
        <v>220</v>
      </c>
      <c r="H102">
        <v>10</v>
      </c>
      <c r="I102">
        <v>6</v>
      </c>
      <c r="J102">
        <v>6</v>
      </c>
      <c r="K102" s="1">
        <v>0</v>
      </c>
      <c r="L102">
        <v>3</v>
      </c>
      <c r="M102" s="5">
        <v>14.8</v>
      </c>
    </row>
    <row r="103" spans="1:13" x14ac:dyDescent="0.25">
      <c r="A103" t="s">
        <v>221</v>
      </c>
      <c r="B103">
        <v>50</v>
      </c>
      <c r="C103" t="s">
        <v>12</v>
      </c>
      <c r="D103" t="s">
        <v>30</v>
      </c>
      <c r="E103" t="s">
        <v>25</v>
      </c>
      <c r="F103" t="str">
        <f>TEXT(Table1[[#This Row],[Membership_Start_Date2]], "ddd mm")</f>
        <v>Wed 10</v>
      </c>
      <c r="G103" t="s">
        <v>222</v>
      </c>
      <c r="H103">
        <v>5</v>
      </c>
      <c r="I103">
        <v>24</v>
      </c>
      <c r="J103">
        <v>19</v>
      </c>
      <c r="K103" s="1">
        <v>0</v>
      </c>
      <c r="L103">
        <v>12</v>
      </c>
      <c r="M103" s="5">
        <v>11.8</v>
      </c>
    </row>
    <row r="104" spans="1:13" x14ac:dyDescent="0.25">
      <c r="A104" t="s">
        <v>223</v>
      </c>
      <c r="B104">
        <v>24</v>
      </c>
      <c r="C104" t="s">
        <v>12</v>
      </c>
      <c r="D104" t="s">
        <v>18</v>
      </c>
      <c r="E104" t="s">
        <v>25</v>
      </c>
      <c r="F104" t="str">
        <f>TEXT(Table1[[#This Row],[Membership_Start_Date2]], "ddd mm")</f>
        <v>Wed 07</v>
      </c>
      <c r="G104" t="s">
        <v>224</v>
      </c>
      <c r="H104">
        <v>10</v>
      </c>
      <c r="I104">
        <v>14</v>
      </c>
      <c r="J104">
        <v>8</v>
      </c>
      <c r="K104" s="1">
        <v>3946</v>
      </c>
      <c r="L104">
        <v>13</v>
      </c>
      <c r="M104" s="5">
        <v>48.3</v>
      </c>
    </row>
    <row r="105" spans="1:13" x14ac:dyDescent="0.25">
      <c r="A105" t="s">
        <v>225</v>
      </c>
      <c r="B105">
        <v>33</v>
      </c>
      <c r="C105" t="s">
        <v>12</v>
      </c>
      <c r="D105" t="s">
        <v>13</v>
      </c>
      <c r="E105" t="s">
        <v>33</v>
      </c>
      <c r="F105" t="str">
        <f>TEXT(Table1[[#This Row],[Membership_Start_Date2]], "ddd mm")</f>
        <v>Sat 02</v>
      </c>
      <c r="G105" t="s">
        <v>91</v>
      </c>
      <c r="H105">
        <v>10</v>
      </c>
      <c r="I105">
        <v>8</v>
      </c>
      <c r="J105">
        <v>1</v>
      </c>
      <c r="K105" s="1">
        <v>0</v>
      </c>
      <c r="L105">
        <v>10</v>
      </c>
      <c r="M105" s="5">
        <v>19.399999999999999</v>
      </c>
    </row>
    <row r="106" spans="1:13" x14ac:dyDescent="0.25">
      <c r="A106" t="s">
        <v>226</v>
      </c>
      <c r="B106">
        <v>45</v>
      </c>
      <c r="C106" t="s">
        <v>17</v>
      </c>
      <c r="D106" t="s">
        <v>21</v>
      </c>
      <c r="E106" t="s">
        <v>22</v>
      </c>
      <c r="F106" t="str">
        <f>TEXT(Table1[[#This Row],[Membership_Start_Date2]], "ddd mm")</f>
        <v>Thu 03</v>
      </c>
      <c r="G106" t="s">
        <v>227</v>
      </c>
      <c r="H106">
        <v>6</v>
      </c>
      <c r="I106">
        <v>3</v>
      </c>
      <c r="J106">
        <v>6</v>
      </c>
      <c r="K106" s="1">
        <v>0</v>
      </c>
      <c r="L106">
        <v>8</v>
      </c>
      <c r="M106" s="5">
        <v>1.1000000000000001</v>
      </c>
    </row>
    <row r="107" spans="1:13" x14ac:dyDescent="0.25">
      <c r="A107" t="s">
        <v>228</v>
      </c>
      <c r="B107">
        <v>62</v>
      </c>
      <c r="C107" t="s">
        <v>12</v>
      </c>
      <c r="D107" t="s">
        <v>21</v>
      </c>
      <c r="E107" t="s">
        <v>33</v>
      </c>
      <c r="F107" t="str">
        <f>TEXT(Table1[[#This Row],[Membership_Start_Date2]], "ddd mm")</f>
        <v>Tue 04</v>
      </c>
      <c r="G107" t="s">
        <v>229</v>
      </c>
      <c r="H107">
        <v>5</v>
      </c>
      <c r="I107">
        <v>28</v>
      </c>
      <c r="J107">
        <v>28</v>
      </c>
      <c r="K107" s="1">
        <v>0</v>
      </c>
      <c r="L107">
        <v>11</v>
      </c>
      <c r="M107" s="5">
        <v>24</v>
      </c>
    </row>
    <row r="108" spans="1:13" x14ac:dyDescent="0.25">
      <c r="A108" t="s">
        <v>230</v>
      </c>
      <c r="B108">
        <v>36</v>
      </c>
      <c r="C108" t="s">
        <v>12</v>
      </c>
      <c r="D108" t="s">
        <v>18</v>
      </c>
      <c r="E108" t="s">
        <v>33</v>
      </c>
      <c r="F108" t="str">
        <f>TEXT(Table1[[#This Row],[Membership_Start_Date2]], "ddd mm")</f>
        <v>Mon 03</v>
      </c>
      <c r="G108" t="s">
        <v>87</v>
      </c>
      <c r="H108">
        <v>2</v>
      </c>
      <c r="I108">
        <v>8</v>
      </c>
      <c r="J108">
        <v>1</v>
      </c>
      <c r="K108" s="1">
        <v>0</v>
      </c>
      <c r="L108">
        <v>6</v>
      </c>
      <c r="M108" s="5">
        <v>48.2</v>
      </c>
    </row>
    <row r="109" spans="1:13" x14ac:dyDescent="0.25">
      <c r="A109" t="s">
        <v>231</v>
      </c>
      <c r="B109">
        <v>53</v>
      </c>
      <c r="C109" t="s">
        <v>12</v>
      </c>
      <c r="D109" t="s">
        <v>30</v>
      </c>
      <c r="E109" t="s">
        <v>25</v>
      </c>
      <c r="F109" t="str">
        <f>TEXT(Table1[[#This Row],[Membership_Start_Date2]], "ddd mm")</f>
        <v>Wed 11</v>
      </c>
      <c r="G109" t="s">
        <v>232</v>
      </c>
      <c r="H109">
        <v>8</v>
      </c>
      <c r="I109">
        <v>34</v>
      </c>
      <c r="J109">
        <v>23</v>
      </c>
      <c r="K109" s="1">
        <v>3440</v>
      </c>
      <c r="L109">
        <v>7</v>
      </c>
      <c r="M109" s="5">
        <v>49.6</v>
      </c>
    </row>
    <row r="110" spans="1:13" x14ac:dyDescent="0.25">
      <c r="A110" t="s">
        <v>233</v>
      </c>
      <c r="B110">
        <v>42</v>
      </c>
      <c r="C110" t="s">
        <v>17</v>
      </c>
      <c r="D110" t="s">
        <v>21</v>
      </c>
      <c r="E110" t="s">
        <v>14</v>
      </c>
      <c r="F110" t="str">
        <f>TEXT(Table1[[#This Row],[Membership_Start_Date2]], "ddd mm")</f>
        <v>Thu 04</v>
      </c>
      <c r="G110" t="s">
        <v>234</v>
      </c>
      <c r="H110">
        <v>4</v>
      </c>
      <c r="I110">
        <v>25</v>
      </c>
      <c r="J110">
        <v>19</v>
      </c>
      <c r="K110" s="1">
        <v>0</v>
      </c>
      <c r="L110">
        <v>10</v>
      </c>
      <c r="M110" s="5">
        <v>18.399999999999999</v>
      </c>
    </row>
    <row r="111" spans="1:13" x14ac:dyDescent="0.25">
      <c r="A111" t="s">
        <v>235</v>
      </c>
      <c r="B111">
        <v>15</v>
      </c>
      <c r="C111" t="s">
        <v>12</v>
      </c>
      <c r="D111" t="s">
        <v>13</v>
      </c>
      <c r="E111" t="s">
        <v>25</v>
      </c>
      <c r="F111" t="str">
        <f>TEXT(Table1[[#This Row],[Membership_Start_Date2]], "ddd mm")</f>
        <v>Thu 08</v>
      </c>
      <c r="G111" t="s">
        <v>236</v>
      </c>
      <c r="H111">
        <v>9</v>
      </c>
      <c r="I111">
        <v>7</v>
      </c>
      <c r="J111">
        <v>5</v>
      </c>
      <c r="K111" s="1">
        <v>254</v>
      </c>
      <c r="L111">
        <v>4</v>
      </c>
      <c r="M111" s="5">
        <v>40.700000000000003</v>
      </c>
    </row>
    <row r="112" spans="1:13" x14ac:dyDescent="0.25">
      <c r="A112" t="s">
        <v>237</v>
      </c>
      <c r="B112">
        <v>59</v>
      </c>
      <c r="C112" t="s">
        <v>12</v>
      </c>
      <c r="D112" t="s">
        <v>38</v>
      </c>
      <c r="E112" t="s">
        <v>22</v>
      </c>
      <c r="F112" t="str">
        <f>TEXT(Table1[[#This Row],[Membership_Start_Date2]], "ddd mm")</f>
        <v>Sat 10</v>
      </c>
      <c r="G112" t="s">
        <v>238</v>
      </c>
      <c r="H112">
        <v>7</v>
      </c>
      <c r="I112">
        <v>14</v>
      </c>
      <c r="J112">
        <v>19</v>
      </c>
      <c r="K112" s="1">
        <v>2192</v>
      </c>
      <c r="L112">
        <v>13</v>
      </c>
      <c r="M112" s="5">
        <v>34.700000000000003</v>
      </c>
    </row>
    <row r="113" spans="1:13" x14ac:dyDescent="0.25">
      <c r="A113" t="s">
        <v>239</v>
      </c>
      <c r="B113">
        <v>67</v>
      </c>
      <c r="C113" t="s">
        <v>17</v>
      </c>
      <c r="D113" t="s">
        <v>38</v>
      </c>
      <c r="E113" t="s">
        <v>14</v>
      </c>
      <c r="F113" t="str">
        <f>TEXT(Table1[[#This Row],[Membership_Start_Date2]], "ddd mm")</f>
        <v>Tue 11</v>
      </c>
      <c r="G113" t="s">
        <v>240</v>
      </c>
      <c r="H113">
        <v>10</v>
      </c>
      <c r="I113">
        <v>31</v>
      </c>
      <c r="J113">
        <v>21</v>
      </c>
      <c r="K113" s="1">
        <v>0</v>
      </c>
      <c r="L113">
        <v>13</v>
      </c>
      <c r="M113" s="5">
        <v>47</v>
      </c>
    </row>
    <row r="114" spans="1:13" x14ac:dyDescent="0.25">
      <c r="A114" t="s">
        <v>241</v>
      </c>
      <c r="B114">
        <v>29</v>
      </c>
      <c r="C114" t="s">
        <v>17</v>
      </c>
      <c r="D114" t="s">
        <v>30</v>
      </c>
      <c r="E114" t="s">
        <v>14</v>
      </c>
      <c r="F114" t="str">
        <f>TEXT(Table1[[#This Row],[Membership_Start_Date2]], "ddd mm")</f>
        <v>Fri 01</v>
      </c>
      <c r="G114" t="s">
        <v>242</v>
      </c>
      <c r="H114">
        <v>4</v>
      </c>
      <c r="I114">
        <v>1</v>
      </c>
      <c r="J114">
        <v>29</v>
      </c>
      <c r="K114" s="1">
        <v>0</v>
      </c>
      <c r="L114">
        <v>2</v>
      </c>
      <c r="M114" s="5">
        <v>8.9</v>
      </c>
    </row>
    <row r="115" spans="1:13" x14ac:dyDescent="0.25">
      <c r="A115" t="s">
        <v>243</v>
      </c>
      <c r="B115">
        <v>56</v>
      </c>
      <c r="C115" t="s">
        <v>17</v>
      </c>
      <c r="D115" t="s">
        <v>41</v>
      </c>
      <c r="E115" t="s">
        <v>14</v>
      </c>
      <c r="F115" t="str">
        <f>TEXT(Table1[[#This Row],[Membership_Start_Date2]], "ddd mm")</f>
        <v>Tue 09</v>
      </c>
      <c r="G115" t="s">
        <v>244</v>
      </c>
      <c r="H115">
        <v>5</v>
      </c>
      <c r="I115">
        <v>32</v>
      </c>
      <c r="J115">
        <v>23</v>
      </c>
      <c r="K115" s="1">
        <v>0</v>
      </c>
      <c r="L115">
        <v>0</v>
      </c>
      <c r="M115" s="5">
        <v>39.4</v>
      </c>
    </row>
    <row r="116" spans="1:13" x14ac:dyDescent="0.25">
      <c r="A116" t="s">
        <v>245</v>
      </c>
      <c r="B116">
        <v>58</v>
      </c>
      <c r="C116" t="s">
        <v>12</v>
      </c>
      <c r="D116" t="s">
        <v>38</v>
      </c>
      <c r="E116" t="s">
        <v>33</v>
      </c>
      <c r="F116" t="str">
        <f>TEXT(Table1[[#This Row],[Membership_Start_Date2]], "ddd mm")</f>
        <v>Tue 08</v>
      </c>
      <c r="G116" t="s">
        <v>115</v>
      </c>
      <c r="H116">
        <v>4</v>
      </c>
      <c r="I116">
        <v>33</v>
      </c>
      <c r="J116">
        <v>8</v>
      </c>
      <c r="K116" s="1">
        <v>0</v>
      </c>
      <c r="L116">
        <v>7</v>
      </c>
      <c r="M116" s="5">
        <v>48.3</v>
      </c>
    </row>
    <row r="117" spans="1:13" x14ac:dyDescent="0.25">
      <c r="A117" t="s">
        <v>246</v>
      </c>
      <c r="B117">
        <v>21</v>
      </c>
      <c r="C117" t="s">
        <v>12</v>
      </c>
      <c r="D117" t="s">
        <v>13</v>
      </c>
      <c r="E117" t="s">
        <v>33</v>
      </c>
      <c r="F117" t="str">
        <f>TEXT(Table1[[#This Row],[Membership_Start_Date2]], "ddd mm")</f>
        <v>Sun 05</v>
      </c>
      <c r="G117" t="s">
        <v>54</v>
      </c>
      <c r="H117">
        <v>7</v>
      </c>
      <c r="I117">
        <v>8</v>
      </c>
      <c r="J117">
        <v>16</v>
      </c>
      <c r="K117" s="1">
        <v>1738</v>
      </c>
      <c r="L117">
        <v>1</v>
      </c>
      <c r="M117" s="5">
        <v>43.9</v>
      </c>
    </row>
    <row r="118" spans="1:13" x14ac:dyDescent="0.25">
      <c r="A118" t="s">
        <v>247</v>
      </c>
      <c r="B118">
        <v>27</v>
      </c>
      <c r="C118" t="s">
        <v>12</v>
      </c>
      <c r="D118" t="s">
        <v>21</v>
      </c>
      <c r="E118" t="s">
        <v>14</v>
      </c>
      <c r="F118" t="str">
        <f>TEXT(Table1[[#This Row],[Membership_Start_Date2]], "ddd mm")</f>
        <v>Mon 11</v>
      </c>
      <c r="G118" t="s">
        <v>248</v>
      </c>
      <c r="H118">
        <v>5</v>
      </c>
      <c r="I118">
        <v>29</v>
      </c>
      <c r="J118">
        <v>25</v>
      </c>
      <c r="K118" s="1">
        <v>0</v>
      </c>
      <c r="L118">
        <v>14</v>
      </c>
      <c r="M118" s="5">
        <v>8</v>
      </c>
    </row>
    <row r="119" spans="1:13" x14ac:dyDescent="0.25">
      <c r="A119" t="s">
        <v>249</v>
      </c>
      <c r="B119">
        <v>68</v>
      </c>
      <c r="C119" t="s">
        <v>17</v>
      </c>
      <c r="D119" t="s">
        <v>30</v>
      </c>
      <c r="E119" t="s">
        <v>14</v>
      </c>
      <c r="F119" t="str">
        <f>TEXT(Table1[[#This Row],[Membership_Start_Date2]], "ddd mm")</f>
        <v>Tue 01</v>
      </c>
      <c r="G119" t="s">
        <v>250</v>
      </c>
      <c r="H119">
        <v>2</v>
      </c>
      <c r="I119">
        <v>32</v>
      </c>
      <c r="J119">
        <v>17</v>
      </c>
      <c r="K119" s="1">
        <v>1656</v>
      </c>
      <c r="L119">
        <v>3</v>
      </c>
      <c r="M119" s="5">
        <v>16</v>
      </c>
    </row>
    <row r="120" spans="1:13" x14ac:dyDescent="0.25">
      <c r="A120" t="s">
        <v>251</v>
      </c>
      <c r="B120">
        <v>32</v>
      </c>
      <c r="C120" t="s">
        <v>12</v>
      </c>
      <c r="D120" t="s">
        <v>41</v>
      </c>
      <c r="E120" t="s">
        <v>25</v>
      </c>
      <c r="F120" t="str">
        <f>TEXT(Table1[[#This Row],[Membership_Start_Date2]], "ddd mm")</f>
        <v>Thu 03</v>
      </c>
      <c r="G120" t="s">
        <v>252</v>
      </c>
      <c r="H120">
        <v>3</v>
      </c>
      <c r="I120">
        <v>4</v>
      </c>
      <c r="J120">
        <v>29</v>
      </c>
      <c r="K120" s="1">
        <v>1466</v>
      </c>
      <c r="L120">
        <v>0</v>
      </c>
      <c r="M120" s="5">
        <v>11.8</v>
      </c>
    </row>
    <row r="121" spans="1:13" x14ac:dyDescent="0.25">
      <c r="A121" t="s">
        <v>253</v>
      </c>
      <c r="B121">
        <v>23</v>
      </c>
      <c r="C121" t="s">
        <v>12</v>
      </c>
      <c r="D121" t="s">
        <v>30</v>
      </c>
      <c r="E121" t="s">
        <v>25</v>
      </c>
      <c r="F121" t="str">
        <f>TEXT(Table1[[#This Row],[Membership_Start_Date2]], "ddd mm")</f>
        <v>Fri 05</v>
      </c>
      <c r="G121" t="s">
        <v>254</v>
      </c>
      <c r="H121">
        <v>9</v>
      </c>
      <c r="I121">
        <v>5</v>
      </c>
      <c r="J121">
        <v>28</v>
      </c>
      <c r="K121" s="1">
        <v>0</v>
      </c>
      <c r="L121">
        <v>10</v>
      </c>
      <c r="M121" s="5">
        <v>13.2</v>
      </c>
    </row>
    <row r="122" spans="1:13" x14ac:dyDescent="0.25">
      <c r="A122" t="s">
        <v>255</v>
      </c>
      <c r="B122">
        <v>58</v>
      </c>
      <c r="C122" t="s">
        <v>12</v>
      </c>
      <c r="D122" t="s">
        <v>38</v>
      </c>
      <c r="E122" t="s">
        <v>22</v>
      </c>
      <c r="F122" t="str">
        <f>TEXT(Table1[[#This Row],[Membership_Start_Date2]], "ddd mm")</f>
        <v>Fri 11</v>
      </c>
      <c r="G122" t="s">
        <v>256</v>
      </c>
      <c r="H122">
        <v>1</v>
      </c>
      <c r="I122">
        <v>9</v>
      </c>
      <c r="J122">
        <v>9</v>
      </c>
      <c r="K122" s="1">
        <v>943</v>
      </c>
      <c r="L122">
        <v>9</v>
      </c>
      <c r="M122" s="5">
        <v>21.4</v>
      </c>
    </row>
    <row r="123" spans="1:13" x14ac:dyDescent="0.25">
      <c r="A123" t="s">
        <v>257</v>
      </c>
      <c r="B123">
        <v>16</v>
      </c>
      <c r="C123" t="s">
        <v>12</v>
      </c>
      <c r="D123" t="s">
        <v>30</v>
      </c>
      <c r="E123" t="s">
        <v>14</v>
      </c>
      <c r="F123" t="str">
        <f>TEXT(Table1[[#This Row],[Membership_Start_Date2]], "ddd mm")</f>
        <v>Sun 08</v>
      </c>
      <c r="G123" t="s">
        <v>258</v>
      </c>
      <c r="H123">
        <v>3</v>
      </c>
      <c r="I123">
        <v>37</v>
      </c>
      <c r="J123">
        <v>2</v>
      </c>
      <c r="K123" s="1">
        <v>0</v>
      </c>
      <c r="L123">
        <v>1</v>
      </c>
      <c r="M123" s="5">
        <v>25.1</v>
      </c>
    </row>
    <row r="124" spans="1:13" x14ac:dyDescent="0.25">
      <c r="A124" t="s">
        <v>259</v>
      </c>
      <c r="B124">
        <v>43</v>
      </c>
      <c r="C124" t="s">
        <v>12</v>
      </c>
      <c r="D124" t="s">
        <v>41</v>
      </c>
      <c r="E124" t="s">
        <v>14</v>
      </c>
      <c r="F124" t="str">
        <f>TEXT(Table1[[#This Row],[Membership_Start_Date2]], "ddd mm")</f>
        <v>Fri 07</v>
      </c>
      <c r="G124" t="s">
        <v>260</v>
      </c>
      <c r="H124">
        <v>3</v>
      </c>
      <c r="I124">
        <v>12</v>
      </c>
      <c r="J124">
        <v>11</v>
      </c>
      <c r="K124" s="1">
        <v>2374</v>
      </c>
      <c r="L124">
        <v>6</v>
      </c>
      <c r="M124" s="5">
        <v>44.6</v>
      </c>
    </row>
    <row r="125" spans="1:13" x14ac:dyDescent="0.25">
      <c r="A125" t="s">
        <v>261</v>
      </c>
      <c r="B125">
        <v>36</v>
      </c>
      <c r="C125" t="s">
        <v>12</v>
      </c>
      <c r="D125" t="s">
        <v>21</v>
      </c>
      <c r="E125" t="s">
        <v>25</v>
      </c>
      <c r="F125" t="str">
        <f>TEXT(Table1[[#This Row],[Membership_Start_Date2]], "ddd mm")</f>
        <v>Sat 12</v>
      </c>
      <c r="G125" t="s">
        <v>262</v>
      </c>
      <c r="H125">
        <v>5</v>
      </c>
      <c r="I125">
        <v>28</v>
      </c>
      <c r="J125">
        <v>19</v>
      </c>
      <c r="K125" s="1">
        <v>0</v>
      </c>
      <c r="L125">
        <v>11</v>
      </c>
      <c r="M125" s="5">
        <v>9.8000000000000007</v>
      </c>
    </row>
    <row r="126" spans="1:13" x14ac:dyDescent="0.25">
      <c r="A126" t="s">
        <v>263</v>
      </c>
      <c r="B126">
        <v>32</v>
      </c>
      <c r="C126" t="s">
        <v>17</v>
      </c>
      <c r="D126" t="s">
        <v>21</v>
      </c>
      <c r="E126" t="s">
        <v>33</v>
      </c>
      <c r="F126" t="str">
        <f>TEXT(Table1[[#This Row],[Membership_Start_Date2]], "ddd mm")</f>
        <v>Thu 03</v>
      </c>
      <c r="G126" t="s">
        <v>264</v>
      </c>
      <c r="H126">
        <v>5</v>
      </c>
      <c r="I126">
        <v>23</v>
      </c>
      <c r="J126">
        <v>6</v>
      </c>
      <c r="K126" s="1">
        <v>1688</v>
      </c>
      <c r="L126">
        <v>7</v>
      </c>
      <c r="M126" s="5">
        <v>46</v>
      </c>
    </row>
    <row r="127" spans="1:13" x14ac:dyDescent="0.25">
      <c r="A127" t="s">
        <v>265</v>
      </c>
      <c r="B127">
        <v>49</v>
      </c>
      <c r="C127" t="s">
        <v>12</v>
      </c>
      <c r="D127" t="s">
        <v>13</v>
      </c>
      <c r="E127" t="s">
        <v>33</v>
      </c>
      <c r="F127" t="str">
        <f>TEXT(Table1[[#This Row],[Membership_Start_Date2]], "ddd mm")</f>
        <v>Thu 04</v>
      </c>
      <c r="G127" t="s">
        <v>266</v>
      </c>
      <c r="H127">
        <v>9</v>
      </c>
      <c r="I127">
        <v>3</v>
      </c>
      <c r="J127">
        <v>17</v>
      </c>
      <c r="K127" s="1">
        <v>4534</v>
      </c>
      <c r="L127">
        <v>13</v>
      </c>
      <c r="M127" s="5">
        <v>25.9</v>
      </c>
    </row>
    <row r="128" spans="1:13" x14ac:dyDescent="0.25">
      <c r="A128" t="s">
        <v>267</v>
      </c>
      <c r="B128">
        <v>53</v>
      </c>
      <c r="C128" t="s">
        <v>12</v>
      </c>
      <c r="D128" t="s">
        <v>21</v>
      </c>
      <c r="E128" t="s">
        <v>14</v>
      </c>
      <c r="F128" t="str">
        <f>TEXT(Table1[[#This Row],[Membership_Start_Date2]], "ddd mm")</f>
        <v>Sun 10</v>
      </c>
      <c r="G128" t="s">
        <v>268</v>
      </c>
      <c r="H128">
        <v>6</v>
      </c>
      <c r="I128">
        <v>32</v>
      </c>
      <c r="J128">
        <v>26</v>
      </c>
      <c r="K128" s="1">
        <v>0</v>
      </c>
      <c r="L128">
        <v>4</v>
      </c>
      <c r="M128" s="5">
        <v>31.1</v>
      </c>
    </row>
    <row r="129" spans="1:13" x14ac:dyDescent="0.25">
      <c r="A129" t="s">
        <v>269</v>
      </c>
      <c r="B129">
        <v>46</v>
      </c>
      <c r="C129" t="s">
        <v>17</v>
      </c>
      <c r="D129" t="s">
        <v>30</v>
      </c>
      <c r="E129" t="s">
        <v>14</v>
      </c>
      <c r="F129" t="str">
        <f>TEXT(Table1[[#This Row],[Membership_Start_Date2]], "ddd mm")</f>
        <v>Sun 07</v>
      </c>
      <c r="G129" t="s">
        <v>270</v>
      </c>
      <c r="H129">
        <v>3</v>
      </c>
      <c r="I129">
        <v>3</v>
      </c>
      <c r="J129">
        <v>3</v>
      </c>
      <c r="K129" s="1">
        <v>2157</v>
      </c>
      <c r="L129">
        <v>2</v>
      </c>
      <c r="M129" s="5">
        <v>20.399999999999999</v>
      </c>
    </row>
    <row r="130" spans="1:13" x14ac:dyDescent="0.25">
      <c r="A130" t="s">
        <v>271</v>
      </c>
      <c r="B130">
        <v>58</v>
      </c>
      <c r="C130" t="s">
        <v>17</v>
      </c>
      <c r="D130" t="s">
        <v>18</v>
      </c>
      <c r="E130" t="s">
        <v>33</v>
      </c>
      <c r="F130" t="str">
        <f>TEXT(Table1[[#This Row],[Membership_Start_Date2]], "ddd mm")</f>
        <v>Sun 01</v>
      </c>
      <c r="G130" t="s">
        <v>272</v>
      </c>
      <c r="H130">
        <v>8</v>
      </c>
      <c r="I130">
        <v>26</v>
      </c>
      <c r="J130">
        <v>3</v>
      </c>
      <c r="K130" s="1">
        <v>4310</v>
      </c>
      <c r="L130">
        <v>9</v>
      </c>
      <c r="M130" s="5">
        <v>2.7</v>
      </c>
    </row>
    <row r="131" spans="1:13" x14ac:dyDescent="0.25">
      <c r="A131" t="s">
        <v>273</v>
      </c>
      <c r="B131">
        <v>44</v>
      </c>
      <c r="C131" t="s">
        <v>17</v>
      </c>
      <c r="D131" t="s">
        <v>41</v>
      </c>
      <c r="E131" t="s">
        <v>22</v>
      </c>
      <c r="F131" t="str">
        <f>TEXT(Table1[[#This Row],[Membership_Start_Date2]], "ddd mm")</f>
        <v>Sat 01</v>
      </c>
      <c r="G131" t="s">
        <v>274</v>
      </c>
      <c r="H131">
        <v>8</v>
      </c>
      <c r="I131">
        <v>2</v>
      </c>
      <c r="J131">
        <v>1</v>
      </c>
      <c r="K131" s="1">
        <v>3883</v>
      </c>
      <c r="L131">
        <v>14</v>
      </c>
      <c r="M131" s="5">
        <v>34.6</v>
      </c>
    </row>
    <row r="132" spans="1:13" x14ac:dyDescent="0.25">
      <c r="A132" t="s">
        <v>275</v>
      </c>
      <c r="B132">
        <v>47</v>
      </c>
      <c r="C132" t="s">
        <v>17</v>
      </c>
      <c r="D132" t="s">
        <v>30</v>
      </c>
      <c r="E132" t="s">
        <v>22</v>
      </c>
      <c r="F132" t="str">
        <f>TEXT(Table1[[#This Row],[Membership_Start_Date2]], "ddd mm")</f>
        <v>Tue 09</v>
      </c>
      <c r="G132" t="s">
        <v>276</v>
      </c>
      <c r="H132">
        <v>3</v>
      </c>
      <c r="I132">
        <v>24</v>
      </c>
      <c r="J132">
        <v>6</v>
      </c>
      <c r="K132" s="1">
        <v>2214</v>
      </c>
      <c r="L132">
        <v>8</v>
      </c>
      <c r="M132" s="5">
        <v>49.9</v>
      </c>
    </row>
    <row r="133" spans="1:13" x14ac:dyDescent="0.25">
      <c r="A133" t="s">
        <v>277</v>
      </c>
      <c r="B133">
        <v>34</v>
      </c>
      <c r="C133" t="s">
        <v>17</v>
      </c>
      <c r="D133" t="s">
        <v>18</v>
      </c>
      <c r="E133" t="s">
        <v>22</v>
      </c>
      <c r="F133" t="str">
        <f>TEXT(Table1[[#This Row],[Membership_Start_Date2]], "ddd mm")</f>
        <v>Sat 05</v>
      </c>
      <c r="G133" t="s">
        <v>278</v>
      </c>
      <c r="H133">
        <v>9</v>
      </c>
      <c r="I133">
        <v>11</v>
      </c>
      <c r="J133">
        <v>12</v>
      </c>
      <c r="K133" s="1">
        <v>3625</v>
      </c>
      <c r="L133">
        <v>4</v>
      </c>
      <c r="M133" s="5">
        <v>0.3</v>
      </c>
    </row>
    <row r="134" spans="1:13" x14ac:dyDescent="0.25">
      <c r="A134" t="s">
        <v>279</v>
      </c>
      <c r="B134">
        <v>35</v>
      </c>
      <c r="C134" t="s">
        <v>12</v>
      </c>
      <c r="D134" t="s">
        <v>38</v>
      </c>
      <c r="E134" t="s">
        <v>14</v>
      </c>
      <c r="F134" t="str">
        <f>TEXT(Table1[[#This Row],[Membership_Start_Date2]], "ddd mm")</f>
        <v>Fri 07</v>
      </c>
      <c r="G134" t="s">
        <v>280</v>
      </c>
      <c r="H134">
        <v>3</v>
      </c>
      <c r="I134">
        <v>5</v>
      </c>
      <c r="J134">
        <v>18</v>
      </c>
      <c r="K134" s="1">
        <v>0</v>
      </c>
      <c r="L134">
        <v>10</v>
      </c>
      <c r="M134" s="5">
        <v>7.9</v>
      </c>
    </row>
    <row r="135" spans="1:13" x14ac:dyDescent="0.25">
      <c r="A135" t="s">
        <v>281</v>
      </c>
      <c r="B135">
        <v>59</v>
      </c>
      <c r="C135" t="s">
        <v>17</v>
      </c>
      <c r="D135" t="s">
        <v>38</v>
      </c>
      <c r="E135" t="s">
        <v>33</v>
      </c>
      <c r="F135" t="str">
        <f>TEXT(Table1[[#This Row],[Membership_Start_Date2]], "ddd mm")</f>
        <v>Fri 03</v>
      </c>
      <c r="G135" t="s">
        <v>282</v>
      </c>
      <c r="H135">
        <v>6</v>
      </c>
      <c r="I135">
        <v>32</v>
      </c>
      <c r="J135">
        <v>13</v>
      </c>
      <c r="K135" s="1">
        <v>0</v>
      </c>
      <c r="L135">
        <v>11</v>
      </c>
      <c r="M135" s="5">
        <v>26.3</v>
      </c>
    </row>
    <row r="136" spans="1:13" x14ac:dyDescent="0.25">
      <c r="A136" t="s">
        <v>283</v>
      </c>
      <c r="B136">
        <v>65</v>
      </c>
      <c r="C136" t="s">
        <v>17</v>
      </c>
      <c r="D136" t="s">
        <v>38</v>
      </c>
      <c r="E136" t="s">
        <v>25</v>
      </c>
      <c r="F136" t="str">
        <f>TEXT(Table1[[#This Row],[Membership_Start_Date2]], "ddd mm")</f>
        <v>Fri 01</v>
      </c>
      <c r="G136" t="s">
        <v>284</v>
      </c>
      <c r="H136">
        <v>3</v>
      </c>
      <c r="I136">
        <v>18</v>
      </c>
      <c r="J136">
        <v>17</v>
      </c>
      <c r="K136" s="1">
        <v>0</v>
      </c>
      <c r="L136">
        <v>4</v>
      </c>
      <c r="M136" s="5">
        <v>32.1</v>
      </c>
    </row>
    <row r="137" spans="1:13" x14ac:dyDescent="0.25">
      <c r="A137" t="s">
        <v>285</v>
      </c>
      <c r="B137">
        <v>38</v>
      </c>
      <c r="C137" t="s">
        <v>12</v>
      </c>
      <c r="D137" t="s">
        <v>30</v>
      </c>
      <c r="E137" t="s">
        <v>22</v>
      </c>
      <c r="F137" t="str">
        <f>TEXT(Table1[[#This Row],[Membership_Start_Date2]], "ddd mm")</f>
        <v>Thu 09</v>
      </c>
      <c r="G137" t="s">
        <v>286</v>
      </c>
      <c r="H137">
        <v>4</v>
      </c>
      <c r="I137">
        <v>8</v>
      </c>
      <c r="J137">
        <v>6</v>
      </c>
      <c r="K137" s="1">
        <v>0</v>
      </c>
      <c r="L137">
        <v>13</v>
      </c>
      <c r="M137" s="5">
        <v>41.2</v>
      </c>
    </row>
    <row r="138" spans="1:13" x14ac:dyDescent="0.25">
      <c r="A138" t="s">
        <v>287</v>
      </c>
      <c r="B138">
        <v>65</v>
      </c>
      <c r="C138" t="s">
        <v>17</v>
      </c>
      <c r="D138" t="s">
        <v>18</v>
      </c>
      <c r="E138" t="s">
        <v>33</v>
      </c>
      <c r="F138" t="str">
        <f>TEXT(Table1[[#This Row],[Membership_Start_Date2]], "ddd mm")</f>
        <v>Mon 05</v>
      </c>
      <c r="G138" t="s">
        <v>288</v>
      </c>
      <c r="H138">
        <v>8</v>
      </c>
      <c r="I138">
        <v>16</v>
      </c>
      <c r="J138">
        <v>21</v>
      </c>
      <c r="K138" s="1">
        <v>1282</v>
      </c>
      <c r="L138">
        <v>13</v>
      </c>
      <c r="M138" s="5">
        <v>46.2</v>
      </c>
    </row>
    <row r="139" spans="1:13" x14ac:dyDescent="0.25">
      <c r="A139" t="s">
        <v>289</v>
      </c>
      <c r="B139">
        <v>61</v>
      </c>
      <c r="C139" t="s">
        <v>12</v>
      </c>
      <c r="D139" t="s">
        <v>30</v>
      </c>
      <c r="E139" t="s">
        <v>22</v>
      </c>
      <c r="F139" t="str">
        <f>TEXT(Table1[[#This Row],[Membership_Start_Date2]], "ddd mm")</f>
        <v>Wed 02</v>
      </c>
      <c r="G139" t="s">
        <v>290</v>
      </c>
      <c r="H139">
        <v>8</v>
      </c>
      <c r="I139">
        <v>21</v>
      </c>
      <c r="J139">
        <v>4</v>
      </c>
      <c r="K139" s="1">
        <v>0</v>
      </c>
      <c r="L139">
        <v>4</v>
      </c>
      <c r="M139" s="5">
        <v>42.9</v>
      </c>
    </row>
    <row r="140" spans="1:13" x14ac:dyDescent="0.25">
      <c r="A140" t="s">
        <v>291</v>
      </c>
      <c r="B140">
        <v>20</v>
      </c>
      <c r="C140" t="s">
        <v>17</v>
      </c>
      <c r="D140" t="s">
        <v>13</v>
      </c>
      <c r="E140" t="s">
        <v>22</v>
      </c>
      <c r="F140" t="str">
        <f>TEXT(Table1[[#This Row],[Membership_Start_Date2]], "ddd mm")</f>
        <v>Mon 08</v>
      </c>
      <c r="G140" t="s">
        <v>166</v>
      </c>
      <c r="H140">
        <v>1</v>
      </c>
      <c r="I140">
        <v>1</v>
      </c>
      <c r="J140">
        <v>18</v>
      </c>
      <c r="K140" s="1">
        <v>0</v>
      </c>
      <c r="L140">
        <v>14</v>
      </c>
      <c r="M140" s="5">
        <v>21.7</v>
      </c>
    </row>
    <row r="141" spans="1:13" x14ac:dyDescent="0.25">
      <c r="A141" t="s">
        <v>292</v>
      </c>
      <c r="B141">
        <v>29</v>
      </c>
      <c r="C141" t="s">
        <v>12</v>
      </c>
      <c r="D141" t="s">
        <v>30</v>
      </c>
      <c r="E141" t="s">
        <v>22</v>
      </c>
      <c r="F141" t="str">
        <f>TEXT(Table1[[#This Row],[Membership_Start_Date2]], "ddd mm")</f>
        <v>Tue 09</v>
      </c>
      <c r="G141" t="s">
        <v>293</v>
      </c>
      <c r="H141">
        <v>7</v>
      </c>
      <c r="I141">
        <v>24</v>
      </c>
      <c r="J141">
        <v>11</v>
      </c>
      <c r="K141" s="1">
        <v>0</v>
      </c>
      <c r="L141">
        <v>2</v>
      </c>
      <c r="M141" s="5">
        <v>2.5</v>
      </c>
    </row>
    <row r="142" spans="1:13" x14ac:dyDescent="0.25">
      <c r="A142" t="s">
        <v>294</v>
      </c>
      <c r="B142">
        <v>12</v>
      </c>
      <c r="C142" t="s">
        <v>17</v>
      </c>
      <c r="D142" t="s">
        <v>13</v>
      </c>
      <c r="E142" t="s">
        <v>25</v>
      </c>
      <c r="F142" t="str">
        <f>TEXT(Table1[[#This Row],[Membership_Start_Date2]], "ddd mm")</f>
        <v>Thu 10</v>
      </c>
      <c r="G142" t="s">
        <v>295</v>
      </c>
      <c r="H142">
        <v>1</v>
      </c>
      <c r="I142">
        <v>5</v>
      </c>
      <c r="J142">
        <v>20</v>
      </c>
      <c r="K142" s="1">
        <v>3827</v>
      </c>
      <c r="L142">
        <v>7</v>
      </c>
      <c r="M142" s="5">
        <v>48.8</v>
      </c>
    </row>
    <row r="143" spans="1:13" x14ac:dyDescent="0.25">
      <c r="A143" t="s">
        <v>296</v>
      </c>
      <c r="B143">
        <v>12</v>
      </c>
      <c r="C143" t="s">
        <v>12</v>
      </c>
      <c r="D143" t="s">
        <v>41</v>
      </c>
      <c r="E143" t="s">
        <v>22</v>
      </c>
      <c r="F143" t="str">
        <f>TEXT(Table1[[#This Row],[Membership_Start_Date2]], "ddd mm")</f>
        <v>Thu 02</v>
      </c>
      <c r="G143" t="s">
        <v>297</v>
      </c>
      <c r="H143">
        <v>2</v>
      </c>
      <c r="I143">
        <v>18</v>
      </c>
      <c r="J143">
        <v>4</v>
      </c>
      <c r="K143" s="1">
        <v>0</v>
      </c>
      <c r="L143">
        <v>13</v>
      </c>
      <c r="M143" s="5">
        <v>31.6</v>
      </c>
    </row>
    <row r="144" spans="1:13" x14ac:dyDescent="0.25">
      <c r="A144" t="s">
        <v>298</v>
      </c>
      <c r="B144">
        <v>73</v>
      </c>
      <c r="C144" t="s">
        <v>12</v>
      </c>
      <c r="D144" t="s">
        <v>18</v>
      </c>
      <c r="E144" t="s">
        <v>25</v>
      </c>
      <c r="F144" t="str">
        <f>TEXT(Table1[[#This Row],[Membership_Start_Date2]], "ddd mm")</f>
        <v>Sun 05</v>
      </c>
      <c r="G144" t="s">
        <v>299</v>
      </c>
      <c r="H144">
        <v>6</v>
      </c>
      <c r="I144">
        <v>36</v>
      </c>
      <c r="J144">
        <v>24</v>
      </c>
      <c r="K144" s="1">
        <v>0</v>
      </c>
      <c r="L144">
        <v>5</v>
      </c>
      <c r="M144" s="5">
        <v>43.2</v>
      </c>
    </row>
    <row r="145" spans="1:13" x14ac:dyDescent="0.25">
      <c r="A145" t="s">
        <v>300</v>
      </c>
      <c r="B145">
        <v>16</v>
      </c>
      <c r="C145" t="s">
        <v>17</v>
      </c>
      <c r="D145" t="s">
        <v>30</v>
      </c>
      <c r="E145" t="s">
        <v>14</v>
      </c>
      <c r="F145" t="str">
        <f>TEXT(Table1[[#This Row],[Membership_Start_Date2]], "ddd mm")</f>
        <v>Mon 12</v>
      </c>
      <c r="G145" t="s">
        <v>301</v>
      </c>
      <c r="H145">
        <v>7</v>
      </c>
      <c r="I145">
        <v>38</v>
      </c>
      <c r="J145">
        <v>24</v>
      </c>
      <c r="K145" s="1">
        <v>3890</v>
      </c>
      <c r="L145">
        <v>10</v>
      </c>
      <c r="M145" s="5">
        <v>28.7</v>
      </c>
    </row>
    <row r="146" spans="1:13" x14ac:dyDescent="0.25">
      <c r="A146" t="s">
        <v>302</v>
      </c>
      <c r="B146">
        <v>57</v>
      </c>
      <c r="C146" t="s">
        <v>17</v>
      </c>
      <c r="D146" t="s">
        <v>41</v>
      </c>
      <c r="E146" t="s">
        <v>14</v>
      </c>
      <c r="F146" t="str">
        <f>TEXT(Table1[[#This Row],[Membership_Start_Date2]], "ddd mm")</f>
        <v>Fri 02</v>
      </c>
      <c r="G146" t="s">
        <v>303</v>
      </c>
      <c r="H146">
        <v>4</v>
      </c>
      <c r="I146">
        <v>2</v>
      </c>
      <c r="J146">
        <v>16</v>
      </c>
      <c r="K146" s="1">
        <v>2885</v>
      </c>
      <c r="L146">
        <v>9</v>
      </c>
      <c r="M146" s="5">
        <v>36.6</v>
      </c>
    </row>
    <row r="147" spans="1:13" x14ac:dyDescent="0.25">
      <c r="A147" t="s">
        <v>304</v>
      </c>
      <c r="B147">
        <v>65</v>
      </c>
      <c r="C147" t="s">
        <v>12</v>
      </c>
      <c r="D147" t="s">
        <v>21</v>
      </c>
      <c r="E147" t="s">
        <v>25</v>
      </c>
      <c r="F147" t="str">
        <f>TEXT(Table1[[#This Row],[Membership_Start_Date2]], "ddd mm")</f>
        <v>Tue 07</v>
      </c>
      <c r="G147" t="s">
        <v>305</v>
      </c>
      <c r="H147">
        <v>5</v>
      </c>
      <c r="I147">
        <v>1</v>
      </c>
      <c r="J147">
        <v>24</v>
      </c>
      <c r="K147" s="1">
        <v>0</v>
      </c>
      <c r="L147">
        <v>7</v>
      </c>
      <c r="M147" s="5">
        <v>44.7</v>
      </c>
    </row>
    <row r="148" spans="1:13" x14ac:dyDescent="0.25">
      <c r="A148" t="s">
        <v>306</v>
      </c>
      <c r="B148">
        <v>27</v>
      </c>
      <c r="C148" t="s">
        <v>17</v>
      </c>
      <c r="D148" t="s">
        <v>38</v>
      </c>
      <c r="E148" t="s">
        <v>25</v>
      </c>
      <c r="F148" t="str">
        <f>TEXT(Table1[[#This Row],[Membership_Start_Date2]], "ddd mm")</f>
        <v>Wed 02</v>
      </c>
      <c r="G148" t="s">
        <v>307</v>
      </c>
      <c r="H148">
        <v>1</v>
      </c>
      <c r="I148">
        <v>36</v>
      </c>
      <c r="J148">
        <v>15</v>
      </c>
      <c r="K148" s="1">
        <v>4675</v>
      </c>
      <c r="L148">
        <v>1</v>
      </c>
      <c r="M148" s="5">
        <v>47.8</v>
      </c>
    </row>
    <row r="149" spans="1:13" x14ac:dyDescent="0.25">
      <c r="A149" t="s">
        <v>308</v>
      </c>
      <c r="B149">
        <v>50</v>
      </c>
      <c r="C149" t="s">
        <v>17</v>
      </c>
      <c r="D149" t="s">
        <v>21</v>
      </c>
      <c r="E149" t="s">
        <v>22</v>
      </c>
      <c r="F149" t="str">
        <f>TEXT(Table1[[#This Row],[Membership_Start_Date2]], "ddd mm")</f>
        <v>Tue 07</v>
      </c>
      <c r="G149" t="s">
        <v>309</v>
      </c>
      <c r="H149">
        <v>10</v>
      </c>
      <c r="I149">
        <v>17</v>
      </c>
      <c r="J149">
        <v>16</v>
      </c>
      <c r="K149" s="1">
        <v>266</v>
      </c>
      <c r="L149">
        <v>13</v>
      </c>
      <c r="M149" s="5">
        <v>33.9</v>
      </c>
    </row>
    <row r="150" spans="1:13" x14ac:dyDescent="0.25">
      <c r="A150" t="s">
        <v>310</v>
      </c>
      <c r="B150">
        <v>32</v>
      </c>
      <c r="C150" t="s">
        <v>17</v>
      </c>
      <c r="D150" t="s">
        <v>41</v>
      </c>
      <c r="E150" t="s">
        <v>14</v>
      </c>
      <c r="F150" t="str">
        <f>TEXT(Table1[[#This Row],[Membership_Start_Date2]], "ddd mm")</f>
        <v>Mon 08</v>
      </c>
      <c r="G150" t="s">
        <v>311</v>
      </c>
      <c r="H150">
        <v>5</v>
      </c>
      <c r="I150">
        <v>21</v>
      </c>
      <c r="J150">
        <v>11</v>
      </c>
      <c r="K150" s="1">
        <v>4594</v>
      </c>
      <c r="L150">
        <v>14</v>
      </c>
      <c r="M150" s="5">
        <v>17.3</v>
      </c>
    </row>
    <row r="151" spans="1:13" x14ac:dyDescent="0.25">
      <c r="A151" t="s">
        <v>312</v>
      </c>
      <c r="B151">
        <v>53</v>
      </c>
      <c r="C151" t="s">
        <v>17</v>
      </c>
      <c r="D151" t="s">
        <v>18</v>
      </c>
      <c r="E151" t="s">
        <v>33</v>
      </c>
      <c r="F151" t="str">
        <f>TEXT(Table1[[#This Row],[Membership_Start_Date2]], "ddd mm")</f>
        <v>Fri 03</v>
      </c>
      <c r="G151" t="s">
        <v>313</v>
      </c>
      <c r="H151">
        <v>6</v>
      </c>
      <c r="I151">
        <v>25</v>
      </c>
      <c r="J151">
        <v>15</v>
      </c>
      <c r="K151" s="1">
        <v>3570</v>
      </c>
      <c r="L151">
        <v>7</v>
      </c>
      <c r="M151" s="5">
        <v>25.9</v>
      </c>
    </row>
    <row r="152" spans="1:13" x14ac:dyDescent="0.25">
      <c r="A152" t="s">
        <v>314</v>
      </c>
      <c r="B152">
        <v>67</v>
      </c>
      <c r="C152" t="s">
        <v>12</v>
      </c>
      <c r="D152" t="s">
        <v>41</v>
      </c>
      <c r="E152" t="s">
        <v>33</v>
      </c>
      <c r="F152" t="str">
        <f>TEXT(Table1[[#This Row],[Membership_Start_Date2]], "ddd mm")</f>
        <v>Sun 05</v>
      </c>
      <c r="G152" t="s">
        <v>315</v>
      </c>
      <c r="H152">
        <v>9</v>
      </c>
      <c r="I152">
        <v>24</v>
      </c>
      <c r="J152">
        <v>17</v>
      </c>
      <c r="K152" s="1">
        <v>0</v>
      </c>
      <c r="L152">
        <v>2</v>
      </c>
      <c r="M152" s="5">
        <v>15.4</v>
      </c>
    </row>
    <row r="153" spans="1:13" x14ac:dyDescent="0.25">
      <c r="A153" t="s">
        <v>316</v>
      </c>
      <c r="B153">
        <v>61</v>
      </c>
      <c r="C153" t="s">
        <v>12</v>
      </c>
      <c r="D153" t="s">
        <v>21</v>
      </c>
      <c r="E153" t="s">
        <v>22</v>
      </c>
      <c r="F153" t="str">
        <f>TEXT(Table1[[#This Row],[Membership_Start_Date2]], "ddd mm")</f>
        <v>Tue 07</v>
      </c>
      <c r="G153" t="s">
        <v>317</v>
      </c>
      <c r="H153">
        <v>9</v>
      </c>
      <c r="I153">
        <v>0</v>
      </c>
      <c r="J153">
        <v>24</v>
      </c>
      <c r="K153" s="1">
        <v>3786</v>
      </c>
      <c r="L153">
        <v>3</v>
      </c>
      <c r="M153" s="5">
        <v>28.6</v>
      </c>
    </row>
    <row r="154" spans="1:13" x14ac:dyDescent="0.25">
      <c r="A154" t="s">
        <v>318</v>
      </c>
      <c r="B154">
        <v>12</v>
      </c>
      <c r="C154" t="s">
        <v>17</v>
      </c>
      <c r="D154" t="s">
        <v>21</v>
      </c>
      <c r="E154" t="s">
        <v>33</v>
      </c>
      <c r="F154" t="str">
        <f>TEXT(Table1[[#This Row],[Membership_Start_Date2]], "ddd mm")</f>
        <v>Mon 11</v>
      </c>
      <c r="G154" t="s">
        <v>319</v>
      </c>
      <c r="H154">
        <v>10</v>
      </c>
      <c r="I154">
        <v>36</v>
      </c>
      <c r="J154">
        <v>17</v>
      </c>
      <c r="K154" s="1">
        <v>0</v>
      </c>
      <c r="L154">
        <v>0</v>
      </c>
      <c r="M154" s="5">
        <v>12.2</v>
      </c>
    </row>
    <row r="155" spans="1:13" x14ac:dyDescent="0.25">
      <c r="A155" t="s">
        <v>320</v>
      </c>
      <c r="B155">
        <v>60</v>
      </c>
      <c r="C155" t="s">
        <v>12</v>
      </c>
      <c r="D155" t="s">
        <v>41</v>
      </c>
      <c r="E155" t="s">
        <v>33</v>
      </c>
      <c r="F155" t="str">
        <f>TEXT(Table1[[#This Row],[Membership_Start_Date2]], "ddd mm")</f>
        <v>Wed 06</v>
      </c>
      <c r="G155" t="s">
        <v>321</v>
      </c>
      <c r="H155">
        <v>9</v>
      </c>
      <c r="I155">
        <v>6</v>
      </c>
      <c r="J155">
        <v>8</v>
      </c>
      <c r="K155" s="1">
        <v>0</v>
      </c>
      <c r="L155">
        <v>4</v>
      </c>
      <c r="M155" s="5">
        <v>36.299999999999997</v>
      </c>
    </row>
    <row r="156" spans="1:13" x14ac:dyDescent="0.25">
      <c r="A156" t="s">
        <v>322</v>
      </c>
      <c r="B156">
        <v>21</v>
      </c>
      <c r="C156" t="s">
        <v>17</v>
      </c>
      <c r="D156" t="s">
        <v>30</v>
      </c>
      <c r="E156" t="s">
        <v>33</v>
      </c>
      <c r="F156" t="str">
        <f>TEXT(Table1[[#This Row],[Membership_Start_Date2]], "ddd mm")</f>
        <v>Wed 10</v>
      </c>
      <c r="G156" t="s">
        <v>323</v>
      </c>
      <c r="H156">
        <v>5</v>
      </c>
      <c r="I156">
        <v>32</v>
      </c>
      <c r="J156">
        <v>26</v>
      </c>
      <c r="K156" s="1">
        <v>4695</v>
      </c>
      <c r="L156">
        <v>9</v>
      </c>
      <c r="M156" s="5">
        <v>11.8</v>
      </c>
    </row>
    <row r="157" spans="1:13" x14ac:dyDescent="0.25">
      <c r="A157" t="s">
        <v>324</v>
      </c>
      <c r="B157">
        <v>13</v>
      </c>
      <c r="C157" t="s">
        <v>17</v>
      </c>
      <c r="D157" t="s">
        <v>21</v>
      </c>
      <c r="E157" t="s">
        <v>22</v>
      </c>
      <c r="F157" t="str">
        <f>TEXT(Table1[[#This Row],[Membership_Start_Date2]], "ddd mm")</f>
        <v>Tue 07</v>
      </c>
      <c r="G157" t="s">
        <v>325</v>
      </c>
      <c r="H157">
        <v>5</v>
      </c>
      <c r="I157">
        <v>22</v>
      </c>
      <c r="J157">
        <v>27</v>
      </c>
      <c r="K157" s="1">
        <v>3318</v>
      </c>
      <c r="L157">
        <v>14</v>
      </c>
      <c r="M157" s="5">
        <v>6.4</v>
      </c>
    </row>
    <row r="158" spans="1:13" x14ac:dyDescent="0.25">
      <c r="A158" t="s">
        <v>326</v>
      </c>
      <c r="B158">
        <v>34</v>
      </c>
      <c r="C158" t="s">
        <v>12</v>
      </c>
      <c r="D158" t="s">
        <v>30</v>
      </c>
      <c r="E158" t="s">
        <v>14</v>
      </c>
      <c r="F158" t="str">
        <f>TEXT(Table1[[#This Row],[Membership_Start_Date2]], "ddd mm")</f>
        <v>Wed 11</v>
      </c>
      <c r="G158" t="s">
        <v>327</v>
      </c>
      <c r="H158">
        <v>4</v>
      </c>
      <c r="I158">
        <v>17</v>
      </c>
      <c r="J158">
        <v>12</v>
      </c>
      <c r="K158" s="1">
        <v>0</v>
      </c>
      <c r="L158">
        <v>9</v>
      </c>
      <c r="M158" s="5">
        <v>26.3</v>
      </c>
    </row>
    <row r="159" spans="1:13" x14ac:dyDescent="0.25">
      <c r="A159" t="s">
        <v>328</v>
      </c>
      <c r="B159">
        <v>30</v>
      </c>
      <c r="C159" t="s">
        <v>12</v>
      </c>
      <c r="D159" t="s">
        <v>30</v>
      </c>
      <c r="E159" t="s">
        <v>33</v>
      </c>
      <c r="F159" t="str">
        <f>TEXT(Table1[[#This Row],[Membership_Start_Date2]], "ddd mm")</f>
        <v>Sat 01</v>
      </c>
      <c r="G159" t="s">
        <v>329</v>
      </c>
      <c r="H159">
        <v>10</v>
      </c>
      <c r="I159">
        <v>9</v>
      </c>
      <c r="J159">
        <v>19</v>
      </c>
      <c r="K159" s="1">
        <v>0</v>
      </c>
      <c r="L159">
        <v>13</v>
      </c>
      <c r="M159" s="5">
        <v>3.4</v>
      </c>
    </row>
    <row r="160" spans="1:13" x14ac:dyDescent="0.25">
      <c r="A160" t="s">
        <v>330</v>
      </c>
      <c r="B160">
        <v>69</v>
      </c>
      <c r="C160" t="s">
        <v>12</v>
      </c>
      <c r="D160" t="s">
        <v>38</v>
      </c>
      <c r="E160" t="s">
        <v>22</v>
      </c>
      <c r="F160" t="str">
        <f>TEXT(Table1[[#This Row],[Membership_Start_Date2]], "ddd mm")</f>
        <v>Wed 03</v>
      </c>
      <c r="G160" t="s">
        <v>331</v>
      </c>
      <c r="H160">
        <v>3</v>
      </c>
      <c r="I160">
        <v>25</v>
      </c>
      <c r="J160">
        <v>12</v>
      </c>
      <c r="K160" s="1">
        <v>1661</v>
      </c>
      <c r="L160">
        <v>15</v>
      </c>
      <c r="M160" s="5">
        <v>13</v>
      </c>
    </row>
    <row r="161" spans="1:13" x14ac:dyDescent="0.25">
      <c r="A161" t="s">
        <v>332</v>
      </c>
      <c r="B161">
        <v>38</v>
      </c>
      <c r="C161" t="s">
        <v>17</v>
      </c>
      <c r="D161" t="s">
        <v>13</v>
      </c>
      <c r="E161" t="s">
        <v>25</v>
      </c>
      <c r="F161" t="str">
        <f>TEXT(Table1[[#This Row],[Membership_Start_Date2]], "ddd mm")</f>
        <v>Wed 11</v>
      </c>
      <c r="G161" t="s">
        <v>333</v>
      </c>
      <c r="H161">
        <v>7</v>
      </c>
      <c r="I161">
        <v>37</v>
      </c>
      <c r="J161">
        <v>20</v>
      </c>
      <c r="K161" s="1">
        <v>2315</v>
      </c>
      <c r="L161">
        <v>13</v>
      </c>
      <c r="M161" s="5">
        <v>6.9</v>
      </c>
    </row>
    <row r="162" spans="1:13" x14ac:dyDescent="0.25">
      <c r="A162" t="s">
        <v>334</v>
      </c>
      <c r="B162">
        <v>36</v>
      </c>
      <c r="C162" t="s">
        <v>17</v>
      </c>
      <c r="D162" t="s">
        <v>18</v>
      </c>
      <c r="E162" t="s">
        <v>33</v>
      </c>
      <c r="F162" t="str">
        <f>TEXT(Table1[[#This Row],[Membership_Start_Date2]], "ddd mm")</f>
        <v>Sat 02</v>
      </c>
      <c r="G162" t="s">
        <v>335</v>
      </c>
      <c r="H162">
        <v>4</v>
      </c>
      <c r="I162">
        <v>3</v>
      </c>
      <c r="J162">
        <v>13</v>
      </c>
      <c r="K162" s="1">
        <v>0</v>
      </c>
      <c r="L162">
        <v>15</v>
      </c>
      <c r="M162" s="5">
        <v>4</v>
      </c>
    </row>
    <row r="163" spans="1:13" x14ac:dyDescent="0.25">
      <c r="A163" t="s">
        <v>336</v>
      </c>
      <c r="B163">
        <v>57</v>
      </c>
      <c r="C163" t="s">
        <v>12</v>
      </c>
      <c r="D163" t="s">
        <v>30</v>
      </c>
      <c r="E163" t="s">
        <v>25</v>
      </c>
      <c r="F163" t="str">
        <f>TEXT(Table1[[#This Row],[Membership_Start_Date2]], "ddd mm")</f>
        <v>Mon 10</v>
      </c>
      <c r="G163" t="s">
        <v>337</v>
      </c>
      <c r="H163">
        <v>10</v>
      </c>
      <c r="I163">
        <v>35</v>
      </c>
      <c r="J163">
        <v>17</v>
      </c>
      <c r="K163" s="1">
        <v>4206</v>
      </c>
      <c r="L163">
        <v>14</v>
      </c>
      <c r="M163" s="5">
        <v>31.2</v>
      </c>
    </row>
    <row r="164" spans="1:13" x14ac:dyDescent="0.25">
      <c r="A164" t="s">
        <v>338</v>
      </c>
      <c r="B164">
        <v>74</v>
      </c>
      <c r="C164" t="s">
        <v>12</v>
      </c>
      <c r="D164" t="s">
        <v>18</v>
      </c>
      <c r="E164" t="s">
        <v>14</v>
      </c>
      <c r="F164" t="str">
        <f>TEXT(Table1[[#This Row],[Membership_Start_Date2]], "ddd mm")</f>
        <v>Thu 01</v>
      </c>
      <c r="G164" t="s">
        <v>339</v>
      </c>
      <c r="H164">
        <v>7</v>
      </c>
      <c r="I164">
        <v>16</v>
      </c>
      <c r="J164">
        <v>30</v>
      </c>
      <c r="K164" s="1">
        <v>2051</v>
      </c>
      <c r="L164">
        <v>9</v>
      </c>
      <c r="M164" s="5">
        <v>41.8</v>
      </c>
    </row>
    <row r="165" spans="1:13" x14ac:dyDescent="0.25">
      <c r="A165" t="s">
        <v>340</v>
      </c>
      <c r="B165">
        <v>70</v>
      </c>
      <c r="C165" t="s">
        <v>17</v>
      </c>
      <c r="D165" t="s">
        <v>21</v>
      </c>
      <c r="E165" t="s">
        <v>33</v>
      </c>
      <c r="F165" t="str">
        <f>TEXT(Table1[[#This Row],[Membership_Start_Date2]], "ddd mm")</f>
        <v>Tue 02</v>
      </c>
      <c r="G165" t="s">
        <v>341</v>
      </c>
      <c r="H165">
        <v>2</v>
      </c>
      <c r="I165">
        <v>0</v>
      </c>
      <c r="J165">
        <v>30</v>
      </c>
      <c r="K165" s="1">
        <v>0</v>
      </c>
      <c r="L165">
        <v>7</v>
      </c>
      <c r="M165" s="5">
        <v>44.1</v>
      </c>
    </row>
    <row r="166" spans="1:13" x14ac:dyDescent="0.25">
      <c r="A166" t="s">
        <v>342</v>
      </c>
      <c r="B166">
        <v>70</v>
      </c>
      <c r="C166" t="s">
        <v>17</v>
      </c>
      <c r="D166" t="s">
        <v>41</v>
      </c>
      <c r="E166" t="s">
        <v>14</v>
      </c>
      <c r="F166" t="str">
        <f>TEXT(Table1[[#This Row],[Membership_Start_Date2]], "ddd mm")</f>
        <v>Sat 05</v>
      </c>
      <c r="G166" t="s">
        <v>343</v>
      </c>
      <c r="H166">
        <v>9</v>
      </c>
      <c r="I166">
        <v>29</v>
      </c>
      <c r="J166">
        <v>11</v>
      </c>
      <c r="K166" s="1">
        <v>4668</v>
      </c>
      <c r="L166">
        <v>14</v>
      </c>
      <c r="M166" s="5">
        <v>38.299999999999997</v>
      </c>
    </row>
    <row r="167" spans="1:13" x14ac:dyDescent="0.25">
      <c r="A167" t="s">
        <v>344</v>
      </c>
      <c r="B167">
        <v>41</v>
      </c>
      <c r="C167" t="s">
        <v>12</v>
      </c>
      <c r="D167" t="s">
        <v>13</v>
      </c>
      <c r="E167" t="s">
        <v>33</v>
      </c>
      <c r="F167" t="str">
        <f>TEXT(Table1[[#This Row],[Membership_Start_Date2]], "ddd mm")</f>
        <v>Sat 10</v>
      </c>
      <c r="G167" t="s">
        <v>345</v>
      </c>
      <c r="H167">
        <v>6</v>
      </c>
      <c r="I167">
        <v>30</v>
      </c>
      <c r="J167">
        <v>13</v>
      </c>
      <c r="K167" s="1">
        <v>0</v>
      </c>
      <c r="L167">
        <v>2</v>
      </c>
      <c r="M167" s="5">
        <v>44</v>
      </c>
    </row>
    <row r="168" spans="1:13" x14ac:dyDescent="0.25">
      <c r="A168" t="s">
        <v>346</v>
      </c>
      <c r="B168">
        <v>40</v>
      </c>
      <c r="C168" t="s">
        <v>17</v>
      </c>
      <c r="D168" t="s">
        <v>18</v>
      </c>
      <c r="E168" t="s">
        <v>14</v>
      </c>
      <c r="F168" t="str">
        <f>TEXT(Table1[[#This Row],[Membership_Start_Date2]], "ddd mm")</f>
        <v>Tue 11</v>
      </c>
      <c r="G168" t="s">
        <v>347</v>
      </c>
      <c r="H168">
        <v>4</v>
      </c>
      <c r="I168">
        <v>36</v>
      </c>
      <c r="J168">
        <v>11</v>
      </c>
      <c r="K168" s="1">
        <v>0</v>
      </c>
      <c r="L168">
        <v>3</v>
      </c>
      <c r="M168" s="5">
        <v>26.1</v>
      </c>
    </row>
    <row r="169" spans="1:13" x14ac:dyDescent="0.25">
      <c r="A169" t="s">
        <v>348</v>
      </c>
      <c r="B169">
        <v>57</v>
      </c>
      <c r="C169" t="s">
        <v>17</v>
      </c>
      <c r="D169" t="s">
        <v>13</v>
      </c>
      <c r="E169" t="s">
        <v>25</v>
      </c>
      <c r="F169" t="str">
        <f>TEXT(Table1[[#This Row],[Membership_Start_Date2]], "ddd mm")</f>
        <v>Sat 12</v>
      </c>
      <c r="G169" t="s">
        <v>349</v>
      </c>
      <c r="H169">
        <v>2</v>
      </c>
      <c r="I169">
        <v>17</v>
      </c>
      <c r="J169">
        <v>12</v>
      </c>
      <c r="K169" s="1">
        <v>1886</v>
      </c>
      <c r="L169">
        <v>7</v>
      </c>
      <c r="M169" s="5">
        <v>16.2</v>
      </c>
    </row>
    <row r="170" spans="1:13" x14ac:dyDescent="0.25">
      <c r="A170" t="s">
        <v>350</v>
      </c>
      <c r="B170">
        <v>72</v>
      </c>
      <c r="C170" t="s">
        <v>12</v>
      </c>
      <c r="D170" t="s">
        <v>21</v>
      </c>
      <c r="E170" t="s">
        <v>22</v>
      </c>
      <c r="F170" t="str">
        <f>TEXT(Table1[[#This Row],[Membership_Start_Date2]], "ddd mm")</f>
        <v>Tue 08</v>
      </c>
      <c r="G170" t="s">
        <v>351</v>
      </c>
      <c r="H170">
        <v>5</v>
      </c>
      <c r="I170">
        <v>24</v>
      </c>
      <c r="J170">
        <v>26</v>
      </c>
      <c r="K170" s="1">
        <v>1941</v>
      </c>
      <c r="L170">
        <v>5</v>
      </c>
      <c r="M170" s="5">
        <v>31</v>
      </c>
    </row>
    <row r="171" spans="1:13" x14ac:dyDescent="0.25">
      <c r="A171" t="s">
        <v>352</v>
      </c>
      <c r="B171">
        <v>67</v>
      </c>
      <c r="C171" t="s">
        <v>12</v>
      </c>
      <c r="D171" t="s">
        <v>30</v>
      </c>
      <c r="E171" t="s">
        <v>14</v>
      </c>
      <c r="F171" t="str">
        <f>TEXT(Table1[[#This Row],[Membership_Start_Date2]], "ddd mm")</f>
        <v>Sun 03</v>
      </c>
      <c r="G171" t="s">
        <v>353</v>
      </c>
      <c r="H171">
        <v>3</v>
      </c>
      <c r="I171">
        <v>12</v>
      </c>
      <c r="J171">
        <v>28</v>
      </c>
      <c r="K171" s="1">
        <v>578</v>
      </c>
      <c r="L171">
        <v>2</v>
      </c>
      <c r="M171" s="5">
        <v>9.6999999999999993</v>
      </c>
    </row>
    <row r="172" spans="1:13" x14ac:dyDescent="0.25">
      <c r="A172" t="s">
        <v>354</v>
      </c>
      <c r="B172">
        <v>19</v>
      </c>
      <c r="C172" t="s">
        <v>17</v>
      </c>
      <c r="D172" t="s">
        <v>13</v>
      </c>
      <c r="E172" t="s">
        <v>33</v>
      </c>
      <c r="F172" t="str">
        <f>TEXT(Table1[[#This Row],[Membership_Start_Date2]], "ddd mm")</f>
        <v>Fri 09</v>
      </c>
      <c r="G172" t="s">
        <v>355</v>
      </c>
      <c r="H172">
        <v>4</v>
      </c>
      <c r="I172">
        <v>30</v>
      </c>
      <c r="J172">
        <v>16</v>
      </c>
      <c r="K172" s="1">
        <v>2767</v>
      </c>
      <c r="L172">
        <v>4</v>
      </c>
      <c r="M172" s="5">
        <v>34.299999999999997</v>
      </c>
    </row>
    <row r="173" spans="1:13" x14ac:dyDescent="0.25">
      <c r="A173" t="s">
        <v>356</v>
      </c>
      <c r="B173">
        <v>34</v>
      </c>
      <c r="C173" t="s">
        <v>17</v>
      </c>
      <c r="D173" t="s">
        <v>30</v>
      </c>
      <c r="E173" t="s">
        <v>22</v>
      </c>
      <c r="F173" t="str">
        <f>TEXT(Table1[[#This Row],[Membership_Start_Date2]], "ddd mm")</f>
        <v>Wed 11</v>
      </c>
      <c r="G173" t="s">
        <v>357</v>
      </c>
      <c r="H173">
        <v>4</v>
      </c>
      <c r="I173">
        <v>34</v>
      </c>
      <c r="J173">
        <v>9</v>
      </c>
      <c r="K173" s="1">
        <v>4878</v>
      </c>
      <c r="L173">
        <v>2</v>
      </c>
      <c r="M173" s="5">
        <v>40.299999999999997</v>
      </c>
    </row>
    <row r="174" spans="1:13" x14ac:dyDescent="0.25">
      <c r="A174" t="s">
        <v>358</v>
      </c>
      <c r="B174">
        <v>34</v>
      </c>
      <c r="C174" t="s">
        <v>17</v>
      </c>
      <c r="D174" t="s">
        <v>21</v>
      </c>
      <c r="E174" t="s">
        <v>25</v>
      </c>
      <c r="F174" t="str">
        <f>TEXT(Table1[[#This Row],[Membership_Start_Date2]], "ddd mm")</f>
        <v>Wed 09</v>
      </c>
      <c r="G174" t="s">
        <v>156</v>
      </c>
      <c r="H174">
        <v>2</v>
      </c>
      <c r="I174">
        <v>4</v>
      </c>
      <c r="J174">
        <v>9</v>
      </c>
      <c r="K174" s="1">
        <v>0</v>
      </c>
      <c r="L174">
        <v>14</v>
      </c>
      <c r="M174" s="5">
        <v>46.9</v>
      </c>
    </row>
    <row r="175" spans="1:13" x14ac:dyDescent="0.25">
      <c r="A175" t="s">
        <v>359</v>
      </c>
      <c r="B175">
        <v>48</v>
      </c>
      <c r="C175" t="s">
        <v>12</v>
      </c>
      <c r="D175" t="s">
        <v>38</v>
      </c>
      <c r="E175" t="s">
        <v>22</v>
      </c>
      <c r="F175" t="str">
        <f>TEXT(Table1[[#This Row],[Membership_Start_Date2]], "ddd mm")</f>
        <v>Thu 02</v>
      </c>
      <c r="G175" t="s">
        <v>360</v>
      </c>
      <c r="H175">
        <v>9</v>
      </c>
      <c r="I175">
        <v>34</v>
      </c>
      <c r="J175">
        <v>30</v>
      </c>
      <c r="K175" s="1">
        <v>1483</v>
      </c>
      <c r="L175">
        <v>11</v>
      </c>
      <c r="M175" s="5">
        <v>6.2</v>
      </c>
    </row>
    <row r="176" spans="1:13" x14ac:dyDescent="0.25">
      <c r="A176" t="s">
        <v>361</v>
      </c>
      <c r="B176">
        <v>41</v>
      </c>
      <c r="C176" t="s">
        <v>12</v>
      </c>
      <c r="D176" t="s">
        <v>18</v>
      </c>
      <c r="E176" t="s">
        <v>22</v>
      </c>
      <c r="F176" t="str">
        <f>TEXT(Table1[[#This Row],[Membership_Start_Date2]], "ddd mm")</f>
        <v>Sat 12</v>
      </c>
      <c r="G176" t="s">
        <v>362</v>
      </c>
      <c r="H176">
        <v>9</v>
      </c>
      <c r="I176">
        <v>15</v>
      </c>
      <c r="J176">
        <v>12</v>
      </c>
      <c r="K176" s="1">
        <v>1143</v>
      </c>
      <c r="L176">
        <v>3</v>
      </c>
      <c r="M176" s="5">
        <v>12.3</v>
      </c>
    </row>
    <row r="177" spans="1:13" x14ac:dyDescent="0.25">
      <c r="A177" t="s">
        <v>363</v>
      </c>
      <c r="B177">
        <v>15</v>
      </c>
      <c r="C177" t="s">
        <v>17</v>
      </c>
      <c r="D177" t="s">
        <v>13</v>
      </c>
      <c r="E177" t="s">
        <v>14</v>
      </c>
      <c r="F177" t="str">
        <f>TEXT(Table1[[#This Row],[Membership_Start_Date2]], "ddd mm")</f>
        <v>Sat 01</v>
      </c>
      <c r="G177" t="s">
        <v>364</v>
      </c>
      <c r="H177">
        <v>2</v>
      </c>
      <c r="I177">
        <v>25</v>
      </c>
      <c r="J177">
        <v>12</v>
      </c>
      <c r="K177" s="1">
        <v>0</v>
      </c>
      <c r="L177">
        <v>2</v>
      </c>
      <c r="M177" s="5">
        <v>26.5</v>
      </c>
    </row>
    <row r="178" spans="1:13" x14ac:dyDescent="0.25">
      <c r="A178" t="s">
        <v>365</v>
      </c>
      <c r="B178">
        <v>49</v>
      </c>
      <c r="C178" t="s">
        <v>17</v>
      </c>
      <c r="D178" t="s">
        <v>21</v>
      </c>
      <c r="E178" t="s">
        <v>14</v>
      </c>
      <c r="F178" t="str">
        <f>TEXT(Table1[[#This Row],[Membership_Start_Date2]], "ddd mm")</f>
        <v>Mon 06</v>
      </c>
      <c r="G178" t="s">
        <v>366</v>
      </c>
      <c r="H178">
        <v>8</v>
      </c>
      <c r="I178">
        <v>39</v>
      </c>
      <c r="J178">
        <v>2</v>
      </c>
      <c r="K178" s="1">
        <v>4362</v>
      </c>
      <c r="L178">
        <v>13</v>
      </c>
      <c r="M178" s="5">
        <v>21</v>
      </c>
    </row>
    <row r="179" spans="1:13" x14ac:dyDescent="0.25">
      <c r="A179" t="s">
        <v>367</v>
      </c>
      <c r="B179">
        <v>47</v>
      </c>
      <c r="C179" t="s">
        <v>12</v>
      </c>
      <c r="D179" t="s">
        <v>38</v>
      </c>
      <c r="E179" t="s">
        <v>25</v>
      </c>
      <c r="F179" t="str">
        <f>TEXT(Table1[[#This Row],[Membership_Start_Date2]], "ddd mm")</f>
        <v>Thu 07</v>
      </c>
      <c r="G179" t="s">
        <v>368</v>
      </c>
      <c r="H179">
        <v>8</v>
      </c>
      <c r="I179">
        <v>12</v>
      </c>
      <c r="J179">
        <v>29</v>
      </c>
      <c r="K179" s="1">
        <v>0</v>
      </c>
      <c r="L179">
        <v>7</v>
      </c>
      <c r="M179" s="5">
        <v>0</v>
      </c>
    </row>
    <row r="180" spans="1:13" x14ac:dyDescent="0.25">
      <c r="A180" t="s">
        <v>369</v>
      </c>
      <c r="B180">
        <v>58</v>
      </c>
      <c r="C180" t="s">
        <v>17</v>
      </c>
      <c r="D180" t="s">
        <v>18</v>
      </c>
      <c r="E180" t="s">
        <v>33</v>
      </c>
      <c r="F180" t="str">
        <f>TEXT(Table1[[#This Row],[Membership_Start_Date2]], "ddd mm")</f>
        <v>Thu 02</v>
      </c>
      <c r="G180" t="s">
        <v>370</v>
      </c>
      <c r="H180">
        <v>3</v>
      </c>
      <c r="I180">
        <v>22</v>
      </c>
      <c r="J180">
        <v>21</v>
      </c>
      <c r="K180" s="1">
        <v>0</v>
      </c>
      <c r="L180">
        <v>3</v>
      </c>
      <c r="M180" s="5">
        <v>21.1</v>
      </c>
    </row>
    <row r="181" spans="1:13" x14ac:dyDescent="0.25">
      <c r="A181" t="s">
        <v>371</v>
      </c>
      <c r="B181">
        <v>57</v>
      </c>
      <c r="C181" t="s">
        <v>17</v>
      </c>
      <c r="D181" t="s">
        <v>21</v>
      </c>
      <c r="E181" t="s">
        <v>25</v>
      </c>
      <c r="F181" t="str">
        <f>TEXT(Table1[[#This Row],[Membership_Start_Date2]], "ddd mm")</f>
        <v>Wed 01</v>
      </c>
      <c r="G181" t="s">
        <v>372</v>
      </c>
      <c r="H181">
        <v>2</v>
      </c>
      <c r="I181">
        <v>5</v>
      </c>
      <c r="J181">
        <v>14</v>
      </c>
      <c r="K181" s="1">
        <v>0</v>
      </c>
      <c r="L181">
        <v>13</v>
      </c>
      <c r="M181" s="5">
        <v>22.3</v>
      </c>
    </row>
    <row r="182" spans="1:13" x14ac:dyDescent="0.25">
      <c r="A182" t="s">
        <v>373</v>
      </c>
      <c r="B182">
        <v>59</v>
      </c>
      <c r="C182" t="s">
        <v>12</v>
      </c>
      <c r="D182" t="s">
        <v>13</v>
      </c>
      <c r="E182" t="s">
        <v>22</v>
      </c>
      <c r="F182" t="str">
        <f>TEXT(Table1[[#This Row],[Membership_Start_Date2]], "ddd mm")</f>
        <v>Sun 09</v>
      </c>
      <c r="G182" t="s">
        <v>374</v>
      </c>
      <c r="H182">
        <v>3</v>
      </c>
      <c r="I182">
        <v>23</v>
      </c>
      <c r="J182">
        <v>30</v>
      </c>
      <c r="K182" s="1">
        <v>1205</v>
      </c>
      <c r="L182">
        <v>9</v>
      </c>
      <c r="M182" s="5">
        <v>23.7</v>
      </c>
    </row>
    <row r="183" spans="1:13" x14ac:dyDescent="0.25">
      <c r="A183" t="s">
        <v>375</v>
      </c>
      <c r="B183">
        <v>27</v>
      </c>
      <c r="C183" t="s">
        <v>12</v>
      </c>
      <c r="D183" t="s">
        <v>13</v>
      </c>
      <c r="E183" t="s">
        <v>33</v>
      </c>
      <c r="F183" t="str">
        <f>TEXT(Table1[[#This Row],[Membership_Start_Date2]], "ddd mm")</f>
        <v>Tue 06</v>
      </c>
      <c r="G183" t="s">
        <v>376</v>
      </c>
      <c r="H183">
        <v>4</v>
      </c>
      <c r="I183">
        <v>28</v>
      </c>
      <c r="J183">
        <v>14</v>
      </c>
      <c r="K183" s="1">
        <v>0</v>
      </c>
      <c r="L183">
        <v>10</v>
      </c>
      <c r="M183" s="5">
        <v>29.8</v>
      </c>
    </row>
    <row r="184" spans="1:13" x14ac:dyDescent="0.25">
      <c r="A184" t="s">
        <v>377</v>
      </c>
      <c r="B184">
        <v>64</v>
      </c>
      <c r="C184" t="s">
        <v>12</v>
      </c>
      <c r="D184" t="s">
        <v>30</v>
      </c>
      <c r="E184" t="s">
        <v>33</v>
      </c>
      <c r="F184" t="str">
        <f>TEXT(Table1[[#This Row],[Membership_Start_Date2]], "ddd mm")</f>
        <v>Wed 03</v>
      </c>
      <c r="G184" t="s">
        <v>378</v>
      </c>
      <c r="H184">
        <v>5</v>
      </c>
      <c r="I184">
        <v>24</v>
      </c>
      <c r="J184">
        <v>11</v>
      </c>
      <c r="K184" s="1">
        <v>0</v>
      </c>
      <c r="L184">
        <v>7</v>
      </c>
      <c r="M184" s="5">
        <v>28.7</v>
      </c>
    </row>
    <row r="185" spans="1:13" x14ac:dyDescent="0.25">
      <c r="A185" t="s">
        <v>379</v>
      </c>
      <c r="B185">
        <v>20</v>
      </c>
      <c r="C185" t="s">
        <v>17</v>
      </c>
      <c r="D185" t="s">
        <v>30</v>
      </c>
      <c r="E185" t="s">
        <v>22</v>
      </c>
      <c r="F185" t="str">
        <f>TEXT(Table1[[#This Row],[Membership_Start_Date2]], "ddd mm")</f>
        <v>Thu 03</v>
      </c>
      <c r="G185" t="s">
        <v>380</v>
      </c>
      <c r="H185">
        <v>3</v>
      </c>
      <c r="I185">
        <v>18</v>
      </c>
      <c r="J185">
        <v>7</v>
      </c>
      <c r="K185" s="1">
        <v>0</v>
      </c>
      <c r="L185">
        <v>0</v>
      </c>
      <c r="M185" s="5">
        <v>30.4</v>
      </c>
    </row>
    <row r="186" spans="1:13" x14ac:dyDescent="0.25">
      <c r="A186" t="s">
        <v>381</v>
      </c>
      <c r="B186">
        <v>15</v>
      </c>
      <c r="C186" t="s">
        <v>17</v>
      </c>
      <c r="D186" t="s">
        <v>18</v>
      </c>
      <c r="E186" t="s">
        <v>22</v>
      </c>
      <c r="F186" t="str">
        <f>TEXT(Table1[[#This Row],[Membership_Start_Date2]], "ddd mm")</f>
        <v>Mon 12</v>
      </c>
      <c r="G186" t="s">
        <v>382</v>
      </c>
      <c r="H186">
        <v>9</v>
      </c>
      <c r="I186">
        <v>8</v>
      </c>
      <c r="J186">
        <v>12</v>
      </c>
      <c r="K186" s="1">
        <v>1612</v>
      </c>
      <c r="L186">
        <v>9</v>
      </c>
      <c r="M186" s="5">
        <v>25.6</v>
      </c>
    </row>
    <row r="187" spans="1:13" x14ac:dyDescent="0.25">
      <c r="A187" t="s">
        <v>383</v>
      </c>
      <c r="B187">
        <v>75</v>
      </c>
      <c r="C187" t="s">
        <v>17</v>
      </c>
      <c r="D187" t="s">
        <v>21</v>
      </c>
      <c r="E187" t="s">
        <v>25</v>
      </c>
      <c r="F187" t="str">
        <f>TEXT(Table1[[#This Row],[Membership_Start_Date2]], "ddd mm")</f>
        <v>Sat 11</v>
      </c>
      <c r="G187" t="s">
        <v>384</v>
      </c>
      <c r="H187">
        <v>4</v>
      </c>
      <c r="I187">
        <v>29</v>
      </c>
      <c r="J187">
        <v>6</v>
      </c>
      <c r="K187" s="1">
        <v>0</v>
      </c>
      <c r="L187">
        <v>9</v>
      </c>
      <c r="M187" s="5">
        <v>38</v>
      </c>
    </row>
    <row r="188" spans="1:13" x14ac:dyDescent="0.25">
      <c r="A188" t="s">
        <v>385</v>
      </c>
      <c r="B188">
        <v>62</v>
      </c>
      <c r="C188" t="s">
        <v>17</v>
      </c>
      <c r="D188" t="s">
        <v>13</v>
      </c>
      <c r="E188" t="s">
        <v>25</v>
      </c>
      <c r="F188" t="str">
        <f>TEXT(Table1[[#This Row],[Membership_Start_Date2]], "ddd mm")</f>
        <v>Sat 06</v>
      </c>
      <c r="G188" t="s">
        <v>386</v>
      </c>
      <c r="H188">
        <v>4</v>
      </c>
      <c r="I188">
        <v>31</v>
      </c>
      <c r="J188">
        <v>11</v>
      </c>
      <c r="K188" s="1">
        <v>4266</v>
      </c>
      <c r="L188">
        <v>8</v>
      </c>
      <c r="M188" s="5">
        <v>42.1</v>
      </c>
    </row>
    <row r="189" spans="1:13" x14ac:dyDescent="0.25">
      <c r="A189" t="s">
        <v>387</v>
      </c>
      <c r="B189">
        <v>27</v>
      </c>
      <c r="C189" t="s">
        <v>12</v>
      </c>
      <c r="D189" t="s">
        <v>38</v>
      </c>
      <c r="E189" t="s">
        <v>33</v>
      </c>
      <c r="F189" t="str">
        <f>TEXT(Table1[[#This Row],[Membership_Start_Date2]], "ddd mm")</f>
        <v>Fri 10</v>
      </c>
      <c r="G189" t="s">
        <v>388</v>
      </c>
      <c r="H189">
        <v>10</v>
      </c>
      <c r="I189">
        <v>6</v>
      </c>
      <c r="J189">
        <v>29</v>
      </c>
      <c r="K189" s="1">
        <v>0</v>
      </c>
      <c r="L189">
        <v>4</v>
      </c>
      <c r="M189" s="5">
        <v>7.7</v>
      </c>
    </row>
    <row r="190" spans="1:13" x14ac:dyDescent="0.25">
      <c r="A190" t="s">
        <v>389</v>
      </c>
      <c r="B190">
        <v>68</v>
      </c>
      <c r="C190" t="s">
        <v>12</v>
      </c>
      <c r="D190" t="s">
        <v>38</v>
      </c>
      <c r="E190" t="s">
        <v>22</v>
      </c>
      <c r="F190" t="str">
        <f>TEXT(Table1[[#This Row],[Membership_Start_Date2]], "ddd mm")</f>
        <v>Tue 06</v>
      </c>
      <c r="G190" t="s">
        <v>390</v>
      </c>
      <c r="H190">
        <v>5</v>
      </c>
      <c r="I190">
        <v>29</v>
      </c>
      <c r="J190">
        <v>23</v>
      </c>
      <c r="K190" s="1">
        <v>2858</v>
      </c>
      <c r="L190">
        <v>0</v>
      </c>
      <c r="M190" s="5">
        <v>48.8</v>
      </c>
    </row>
    <row r="191" spans="1:13" x14ac:dyDescent="0.25">
      <c r="A191" t="s">
        <v>391</v>
      </c>
      <c r="B191">
        <v>15</v>
      </c>
      <c r="C191" t="s">
        <v>12</v>
      </c>
      <c r="D191" t="s">
        <v>30</v>
      </c>
      <c r="E191" t="s">
        <v>22</v>
      </c>
      <c r="F191" t="str">
        <f>TEXT(Table1[[#This Row],[Membership_Start_Date2]], "ddd mm")</f>
        <v>Tue 11</v>
      </c>
      <c r="G191" t="s">
        <v>392</v>
      </c>
      <c r="H191">
        <v>9</v>
      </c>
      <c r="I191">
        <v>30</v>
      </c>
      <c r="J191">
        <v>8</v>
      </c>
      <c r="K191" s="1">
        <v>510</v>
      </c>
      <c r="L191">
        <v>3</v>
      </c>
      <c r="M191" s="5">
        <v>16.2</v>
      </c>
    </row>
    <row r="192" spans="1:13" x14ac:dyDescent="0.25">
      <c r="A192" t="s">
        <v>393</v>
      </c>
      <c r="B192">
        <v>39</v>
      </c>
      <c r="C192" t="s">
        <v>17</v>
      </c>
      <c r="D192" t="s">
        <v>41</v>
      </c>
      <c r="E192" t="s">
        <v>14</v>
      </c>
      <c r="F192" t="str">
        <f>TEXT(Table1[[#This Row],[Membership_Start_Date2]], "ddd mm")</f>
        <v>Thu 04</v>
      </c>
      <c r="G192" t="s">
        <v>394</v>
      </c>
      <c r="H192">
        <v>6</v>
      </c>
      <c r="I192">
        <v>28</v>
      </c>
      <c r="J192">
        <v>14</v>
      </c>
      <c r="K192" s="1">
        <v>0</v>
      </c>
      <c r="L192">
        <v>12</v>
      </c>
      <c r="M192" s="5">
        <v>2.4</v>
      </c>
    </row>
    <row r="193" spans="1:13" x14ac:dyDescent="0.25">
      <c r="A193" t="s">
        <v>395</v>
      </c>
      <c r="B193">
        <v>50</v>
      </c>
      <c r="C193" t="s">
        <v>12</v>
      </c>
      <c r="D193" t="s">
        <v>18</v>
      </c>
      <c r="E193" t="s">
        <v>14</v>
      </c>
      <c r="F193" t="str">
        <f>TEXT(Table1[[#This Row],[Membership_Start_Date2]], "ddd mm")</f>
        <v>Tue 06</v>
      </c>
      <c r="G193" t="s">
        <v>396</v>
      </c>
      <c r="H193">
        <v>7</v>
      </c>
      <c r="I193">
        <v>33</v>
      </c>
      <c r="J193">
        <v>2</v>
      </c>
      <c r="K193" s="1">
        <v>3839</v>
      </c>
      <c r="L193">
        <v>9</v>
      </c>
      <c r="M193" s="5">
        <v>36.700000000000003</v>
      </c>
    </row>
    <row r="194" spans="1:13" x14ac:dyDescent="0.25">
      <c r="A194" t="s">
        <v>397</v>
      </c>
      <c r="B194">
        <v>27</v>
      </c>
      <c r="C194" t="s">
        <v>12</v>
      </c>
      <c r="D194" t="s">
        <v>38</v>
      </c>
      <c r="E194" t="s">
        <v>14</v>
      </c>
      <c r="F194" t="str">
        <f>TEXT(Table1[[#This Row],[Membership_Start_Date2]], "ddd mm")</f>
        <v>Sat 07</v>
      </c>
      <c r="G194" t="s">
        <v>398</v>
      </c>
      <c r="H194">
        <v>4</v>
      </c>
      <c r="I194">
        <v>2</v>
      </c>
      <c r="J194">
        <v>8</v>
      </c>
      <c r="K194" s="1">
        <v>0</v>
      </c>
      <c r="L194">
        <v>3</v>
      </c>
      <c r="M194" s="5">
        <v>49.6</v>
      </c>
    </row>
    <row r="195" spans="1:13" x14ac:dyDescent="0.25">
      <c r="A195" t="s">
        <v>399</v>
      </c>
      <c r="B195">
        <v>33</v>
      </c>
      <c r="C195" t="s">
        <v>12</v>
      </c>
      <c r="D195" t="s">
        <v>30</v>
      </c>
      <c r="E195" t="s">
        <v>33</v>
      </c>
      <c r="F195" t="str">
        <f>TEXT(Table1[[#This Row],[Membership_Start_Date2]], "ddd mm")</f>
        <v>Mon 07</v>
      </c>
      <c r="G195" t="s">
        <v>176</v>
      </c>
      <c r="H195">
        <v>9</v>
      </c>
      <c r="I195">
        <v>23</v>
      </c>
      <c r="J195">
        <v>8</v>
      </c>
      <c r="K195" s="1">
        <v>461</v>
      </c>
      <c r="L195">
        <v>14</v>
      </c>
      <c r="M195" s="5">
        <v>36.700000000000003</v>
      </c>
    </row>
    <row r="196" spans="1:13" x14ac:dyDescent="0.25">
      <c r="A196" t="s">
        <v>400</v>
      </c>
      <c r="B196">
        <v>72</v>
      </c>
      <c r="C196" t="s">
        <v>17</v>
      </c>
      <c r="D196" t="s">
        <v>38</v>
      </c>
      <c r="E196" t="s">
        <v>33</v>
      </c>
      <c r="F196" t="str">
        <f>TEXT(Table1[[#This Row],[Membership_Start_Date2]], "ddd mm")</f>
        <v>Fri 12</v>
      </c>
      <c r="G196" t="s">
        <v>401</v>
      </c>
      <c r="H196">
        <v>3</v>
      </c>
      <c r="I196">
        <v>15</v>
      </c>
      <c r="J196">
        <v>14</v>
      </c>
      <c r="K196" s="1">
        <v>0</v>
      </c>
      <c r="L196">
        <v>4</v>
      </c>
      <c r="M196" s="5">
        <v>42</v>
      </c>
    </row>
    <row r="197" spans="1:13" x14ac:dyDescent="0.25">
      <c r="A197" t="s">
        <v>402</v>
      </c>
      <c r="B197">
        <v>75</v>
      </c>
      <c r="C197" t="s">
        <v>12</v>
      </c>
      <c r="D197" t="s">
        <v>30</v>
      </c>
      <c r="E197" t="s">
        <v>25</v>
      </c>
      <c r="F197" t="str">
        <f>TEXT(Table1[[#This Row],[Membership_Start_Date2]], "ddd mm")</f>
        <v>Fri 08</v>
      </c>
      <c r="G197" t="s">
        <v>403</v>
      </c>
      <c r="H197">
        <v>9</v>
      </c>
      <c r="I197">
        <v>31</v>
      </c>
      <c r="J197">
        <v>11</v>
      </c>
      <c r="K197" s="1">
        <v>0</v>
      </c>
      <c r="L197">
        <v>11</v>
      </c>
      <c r="M197" s="5">
        <v>36.799999999999997</v>
      </c>
    </row>
    <row r="198" spans="1:13" x14ac:dyDescent="0.25">
      <c r="A198" t="s">
        <v>404</v>
      </c>
      <c r="B198">
        <v>46</v>
      </c>
      <c r="C198" t="s">
        <v>12</v>
      </c>
      <c r="D198" t="s">
        <v>41</v>
      </c>
      <c r="E198" t="s">
        <v>14</v>
      </c>
      <c r="F198" t="str">
        <f>TEXT(Table1[[#This Row],[Membership_Start_Date2]], "ddd mm")</f>
        <v>Thu 07</v>
      </c>
      <c r="G198" t="s">
        <v>405</v>
      </c>
      <c r="H198">
        <v>7</v>
      </c>
      <c r="I198">
        <v>7</v>
      </c>
      <c r="J198">
        <v>5</v>
      </c>
      <c r="K198" s="1">
        <v>2530</v>
      </c>
      <c r="L198">
        <v>0</v>
      </c>
      <c r="M198" s="5">
        <v>3</v>
      </c>
    </row>
    <row r="199" spans="1:13" x14ac:dyDescent="0.25">
      <c r="A199" t="s">
        <v>406</v>
      </c>
      <c r="B199">
        <v>58</v>
      </c>
      <c r="C199" t="s">
        <v>17</v>
      </c>
      <c r="D199" t="s">
        <v>18</v>
      </c>
      <c r="E199" t="s">
        <v>22</v>
      </c>
      <c r="F199" t="str">
        <f>TEXT(Table1[[#This Row],[Membership_Start_Date2]], "ddd mm")</f>
        <v>Wed 08</v>
      </c>
      <c r="G199" t="s">
        <v>407</v>
      </c>
      <c r="H199">
        <v>4</v>
      </c>
      <c r="I199">
        <v>38</v>
      </c>
      <c r="J199">
        <v>5</v>
      </c>
      <c r="K199" s="1">
        <v>3388</v>
      </c>
      <c r="L199">
        <v>11</v>
      </c>
      <c r="M199" s="5">
        <v>31.1</v>
      </c>
    </row>
    <row r="200" spans="1:13" x14ac:dyDescent="0.25">
      <c r="A200" t="s">
        <v>408</v>
      </c>
      <c r="B200">
        <v>31</v>
      </c>
      <c r="C200" t="s">
        <v>17</v>
      </c>
      <c r="D200" t="s">
        <v>30</v>
      </c>
      <c r="E200" t="s">
        <v>25</v>
      </c>
      <c r="F200" t="str">
        <f>TEXT(Table1[[#This Row],[Membership_Start_Date2]], "ddd mm")</f>
        <v>Fri 05</v>
      </c>
      <c r="G200" t="s">
        <v>409</v>
      </c>
      <c r="H200">
        <v>1</v>
      </c>
      <c r="I200">
        <v>33</v>
      </c>
      <c r="J200">
        <v>25</v>
      </c>
      <c r="K200" s="1">
        <v>0</v>
      </c>
      <c r="L200">
        <v>15</v>
      </c>
      <c r="M200" s="5">
        <v>43.2</v>
      </c>
    </row>
    <row r="201" spans="1:13" x14ac:dyDescent="0.25">
      <c r="A201" t="s">
        <v>410</v>
      </c>
      <c r="B201">
        <v>69</v>
      </c>
      <c r="C201" t="s">
        <v>12</v>
      </c>
      <c r="D201" t="s">
        <v>30</v>
      </c>
      <c r="E201" t="s">
        <v>33</v>
      </c>
      <c r="F201" t="str">
        <f>TEXT(Table1[[#This Row],[Membership_Start_Date2]], "ddd mm")</f>
        <v>Mon 08</v>
      </c>
      <c r="G201" t="s">
        <v>411</v>
      </c>
      <c r="H201">
        <v>1</v>
      </c>
      <c r="I201">
        <v>14</v>
      </c>
      <c r="J201">
        <v>6</v>
      </c>
      <c r="K201" s="1">
        <v>448</v>
      </c>
      <c r="L201">
        <v>13</v>
      </c>
      <c r="M201" s="5">
        <v>11.7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F0D46-BA72-461C-89B1-357487B4FC1F}">
  <dimension ref="A2:B57"/>
  <sheetViews>
    <sheetView workbookViewId="0">
      <selection activeCell="I21" sqref="I21"/>
    </sheetView>
  </sheetViews>
  <sheetFormatPr defaultRowHeight="15" x14ac:dyDescent="0.25"/>
  <cols>
    <col min="1" max="1" width="13.42578125" bestFit="1" customWidth="1"/>
    <col min="2" max="2" width="18.28515625" bestFit="1" customWidth="1"/>
    <col min="3" max="3" width="6.5703125" bestFit="1" customWidth="1"/>
    <col min="4" max="4" width="7" bestFit="1" customWidth="1"/>
    <col min="5" max="5" width="5.42578125" bestFit="1" customWidth="1"/>
    <col min="6" max="6" width="6.140625" bestFit="1" customWidth="1"/>
    <col min="7" max="7" width="13.140625" bestFit="1" customWidth="1"/>
    <col min="8" max="8" width="11.28515625" bestFit="1" customWidth="1"/>
  </cols>
  <sheetData>
    <row r="2" spans="1:2" x14ac:dyDescent="0.25">
      <c r="A2" s="6" t="s">
        <v>438</v>
      </c>
      <c r="B2" s="6"/>
    </row>
    <row r="3" spans="1:2" x14ac:dyDescent="0.25">
      <c r="A3" s="2" t="s">
        <v>414</v>
      </c>
      <c r="B3" t="s">
        <v>416</v>
      </c>
    </row>
    <row r="4" spans="1:2" x14ac:dyDescent="0.25">
      <c r="A4" s="3" t="s">
        <v>25</v>
      </c>
      <c r="B4" s="7">
        <v>49</v>
      </c>
    </row>
    <row r="5" spans="1:2" x14ac:dyDescent="0.25">
      <c r="A5" s="3" t="s">
        <v>33</v>
      </c>
      <c r="B5" s="7">
        <v>54</v>
      </c>
    </row>
    <row r="6" spans="1:2" x14ac:dyDescent="0.25">
      <c r="A6" s="3" t="s">
        <v>22</v>
      </c>
      <c r="B6" s="7">
        <v>55</v>
      </c>
    </row>
    <row r="7" spans="1:2" x14ac:dyDescent="0.25">
      <c r="A7" s="3" t="s">
        <v>14</v>
      </c>
      <c r="B7" s="7">
        <v>42</v>
      </c>
    </row>
    <row r="8" spans="1:2" x14ac:dyDescent="0.25">
      <c r="A8" s="3" t="s">
        <v>415</v>
      </c>
      <c r="B8" s="7">
        <v>200</v>
      </c>
    </row>
    <row r="11" spans="1:2" x14ac:dyDescent="0.25">
      <c r="A11" s="6" t="s">
        <v>437</v>
      </c>
      <c r="B11" s="6"/>
    </row>
    <row r="12" spans="1:2" x14ac:dyDescent="0.25">
      <c r="A12" s="2" t="s">
        <v>414</v>
      </c>
      <c r="B12" t="s">
        <v>416</v>
      </c>
    </row>
    <row r="13" spans="1:2" x14ac:dyDescent="0.25">
      <c r="A13" s="3" t="s">
        <v>30</v>
      </c>
      <c r="B13" s="7">
        <v>44</v>
      </c>
    </row>
    <row r="14" spans="1:2" x14ac:dyDescent="0.25">
      <c r="A14" s="3" t="s">
        <v>41</v>
      </c>
      <c r="B14" s="7">
        <v>25</v>
      </c>
    </row>
    <row r="15" spans="1:2" x14ac:dyDescent="0.25">
      <c r="A15" s="3" t="s">
        <v>18</v>
      </c>
      <c r="B15" s="7">
        <v>32</v>
      </c>
    </row>
    <row r="16" spans="1:2" x14ac:dyDescent="0.25">
      <c r="A16" s="3" t="s">
        <v>21</v>
      </c>
      <c r="B16" s="7">
        <v>34</v>
      </c>
    </row>
    <row r="17" spans="1:2" x14ac:dyDescent="0.25">
      <c r="A17" s="3" t="s">
        <v>38</v>
      </c>
      <c r="B17" s="7">
        <v>28</v>
      </c>
    </row>
    <row r="18" spans="1:2" x14ac:dyDescent="0.25">
      <c r="A18" s="3" t="s">
        <v>13</v>
      </c>
      <c r="B18" s="7">
        <v>37</v>
      </c>
    </row>
    <row r="19" spans="1:2" x14ac:dyDescent="0.25">
      <c r="A19" s="3" t="s">
        <v>415</v>
      </c>
      <c r="B19" s="7">
        <v>200</v>
      </c>
    </row>
    <row r="22" spans="1:2" x14ac:dyDescent="0.25">
      <c r="A22" s="6" t="s">
        <v>439</v>
      </c>
      <c r="B22" s="6"/>
    </row>
    <row r="23" spans="1:2" x14ac:dyDescent="0.25">
      <c r="A23" s="2" t="s">
        <v>414</v>
      </c>
      <c r="B23" t="s">
        <v>422</v>
      </c>
    </row>
    <row r="24" spans="1:2" x14ac:dyDescent="0.25">
      <c r="A24" s="3" t="s">
        <v>430</v>
      </c>
      <c r="B24" s="5">
        <v>7.7</v>
      </c>
    </row>
    <row r="25" spans="1:2" x14ac:dyDescent="0.25">
      <c r="A25" s="3" t="s">
        <v>432</v>
      </c>
      <c r="B25" s="5">
        <v>26.1</v>
      </c>
    </row>
    <row r="26" spans="1:2" x14ac:dyDescent="0.25">
      <c r="A26" s="3" t="s">
        <v>435</v>
      </c>
      <c r="B26" s="5">
        <v>32</v>
      </c>
    </row>
    <row r="27" spans="1:2" x14ac:dyDescent="0.25">
      <c r="A27" s="3" t="s">
        <v>431</v>
      </c>
      <c r="B27" s="5">
        <v>49.4</v>
      </c>
    </row>
    <row r="28" spans="1:2" x14ac:dyDescent="0.25">
      <c r="A28" s="3" t="s">
        <v>429</v>
      </c>
      <c r="B28" s="5">
        <v>104.4</v>
      </c>
    </row>
    <row r="29" spans="1:2" x14ac:dyDescent="0.25">
      <c r="A29" s="3" t="s">
        <v>434</v>
      </c>
      <c r="B29" s="5">
        <v>111.8</v>
      </c>
    </row>
    <row r="30" spans="1:2" x14ac:dyDescent="0.25">
      <c r="A30" s="3" t="s">
        <v>436</v>
      </c>
      <c r="B30" s="5">
        <v>125.6</v>
      </c>
    </row>
    <row r="31" spans="1:2" x14ac:dyDescent="0.25">
      <c r="A31" s="3" t="s">
        <v>433</v>
      </c>
      <c r="B31" s="5">
        <v>142.69999999999999</v>
      </c>
    </row>
    <row r="32" spans="1:2" x14ac:dyDescent="0.25">
      <c r="A32" s="3" t="s">
        <v>415</v>
      </c>
      <c r="B32" s="5">
        <v>599.69999999999993</v>
      </c>
    </row>
    <row r="35" spans="1:2" x14ac:dyDescent="0.25">
      <c r="A35" s="6" t="s">
        <v>440</v>
      </c>
      <c r="B35" s="6"/>
    </row>
    <row r="36" spans="1:2" x14ac:dyDescent="0.25">
      <c r="A36" s="2" t="s">
        <v>414</v>
      </c>
      <c r="B36" t="s">
        <v>416</v>
      </c>
    </row>
    <row r="37" spans="1:2" x14ac:dyDescent="0.25">
      <c r="A37" s="3">
        <v>1</v>
      </c>
      <c r="B37" s="7">
        <v>17</v>
      </c>
    </row>
    <row r="38" spans="1:2" x14ac:dyDescent="0.25">
      <c r="A38" s="3">
        <v>2</v>
      </c>
      <c r="B38" s="7">
        <v>19</v>
      </c>
    </row>
    <row r="39" spans="1:2" x14ac:dyDescent="0.25">
      <c r="A39" s="3">
        <v>3</v>
      </c>
      <c r="B39" s="7">
        <v>23</v>
      </c>
    </row>
    <row r="40" spans="1:2" x14ac:dyDescent="0.25">
      <c r="A40" s="3">
        <v>4</v>
      </c>
      <c r="B40" s="7">
        <v>29</v>
      </c>
    </row>
    <row r="41" spans="1:2" x14ac:dyDescent="0.25">
      <c r="A41" s="3">
        <v>5</v>
      </c>
      <c r="B41" s="7">
        <v>23</v>
      </c>
    </row>
    <row r="42" spans="1:2" x14ac:dyDescent="0.25">
      <c r="A42" s="3">
        <v>6</v>
      </c>
      <c r="B42" s="7">
        <v>16</v>
      </c>
    </row>
    <row r="43" spans="1:2" x14ac:dyDescent="0.25">
      <c r="A43" s="3">
        <v>7</v>
      </c>
      <c r="B43" s="7">
        <v>16</v>
      </c>
    </row>
    <row r="44" spans="1:2" x14ac:dyDescent="0.25">
      <c r="A44" s="3">
        <v>8</v>
      </c>
      <c r="B44" s="7">
        <v>15</v>
      </c>
    </row>
    <row r="45" spans="1:2" x14ac:dyDescent="0.25">
      <c r="A45" s="3">
        <v>9</v>
      </c>
      <c r="B45" s="7">
        <v>24</v>
      </c>
    </row>
    <row r="46" spans="1:2" x14ac:dyDescent="0.25">
      <c r="A46" s="3">
        <v>10</v>
      </c>
      <c r="B46" s="7">
        <v>18</v>
      </c>
    </row>
    <row r="47" spans="1:2" x14ac:dyDescent="0.25">
      <c r="A47" s="3" t="s">
        <v>415</v>
      </c>
      <c r="B47" s="7">
        <v>200</v>
      </c>
    </row>
    <row r="57" spans="1:2" x14ac:dyDescent="0.25">
      <c r="A57" s="6"/>
      <c r="B57" s="6"/>
    </row>
  </sheetData>
  <mergeCells count="5">
    <mergeCell ref="A57:B57"/>
    <mergeCell ref="A2:B2"/>
    <mergeCell ref="A11:B11"/>
    <mergeCell ref="A22:B22"/>
    <mergeCell ref="A35:B35"/>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C10A3-CFB6-487C-8B7A-071B56312E2D}">
  <dimension ref="A2:F7"/>
  <sheetViews>
    <sheetView workbookViewId="0">
      <selection activeCell="F14" sqref="F14"/>
    </sheetView>
  </sheetViews>
  <sheetFormatPr defaultRowHeight="15" x14ac:dyDescent="0.25"/>
  <cols>
    <col min="1" max="1" width="18.28515625" bestFit="1" customWidth="1"/>
    <col min="2" max="2" width="27" bestFit="1" customWidth="1"/>
    <col min="3" max="3" width="28.140625" bestFit="1" customWidth="1"/>
    <col min="4" max="4" width="23" bestFit="1" customWidth="1"/>
    <col min="5" max="5" width="22.85546875" bestFit="1" customWidth="1"/>
    <col min="6" max="6" width="30" bestFit="1" customWidth="1"/>
  </cols>
  <sheetData>
    <row r="2" spans="1:6" x14ac:dyDescent="0.25">
      <c r="A2" t="s">
        <v>417</v>
      </c>
      <c r="B2" t="s">
        <v>424</v>
      </c>
      <c r="C2" t="s">
        <v>427</v>
      </c>
      <c r="D2" t="s">
        <v>425</v>
      </c>
      <c r="E2" t="s">
        <v>426</v>
      </c>
      <c r="F2" t="s">
        <v>428</v>
      </c>
    </row>
    <row r="3" spans="1:6" x14ac:dyDescent="0.25">
      <c r="A3" t="s">
        <v>416</v>
      </c>
      <c r="B3" t="s">
        <v>418</v>
      </c>
      <c r="C3" t="s">
        <v>419</v>
      </c>
      <c r="D3" t="s">
        <v>420</v>
      </c>
      <c r="E3" t="s">
        <v>421</v>
      </c>
      <c r="F3" t="s">
        <v>423</v>
      </c>
    </row>
    <row r="4" spans="1:6" x14ac:dyDescent="0.25">
      <c r="A4" s="7">
        <v>200</v>
      </c>
      <c r="B4" s="8">
        <v>15.125</v>
      </c>
      <c r="C4" s="8">
        <v>5.3949999999999996</v>
      </c>
      <c r="D4" s="7">
        <v>3892</v>
      </c>
      <c r="E4" s="1">
        <v>284473</v>
      </c>
      <c r="F4" s="8">
        <v>27.425499999999996</v>
      </c>
    </row>
    <row r="7" spans="1:6" x14ac:dyDescent="0.25">
      <c r="B7" s="8"/>
      <c r="C7" s="8"/>
      <c r="F7"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049A6-DAF3-4009-8FE3-BE0C5A2359F8}">
  <dimension ref="A1"/>
  <sheetViews>
    <sheetView showGridLines="0" tabSelected="1" topLeftCell="A7" zoomScale="70" zoomScaleNormal="70" workbookViewId="0">
      <selection activeCell="AA14" sqref="AA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Library Data</vt:lpstr>
      <vt:lpstr>Pivot</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Okere</dc:creator>
  <cp:lastModifiedBy>Cynthia Okere</cp:lastModifiedBy>
  <dcterms:created xsi:type="dcterms:W3CDTF">2025-11-22T19:38:17Z</dcterms:created>
  <dcterms:modified xsi:type="dcterms:W3CDTF">2025-11-23T18:14:58Z</dcterms:modified>
</cp:coreProperties>
</file>